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ee8cf079c8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c0abd34954224644"/>
    <x:sheet xmlns:r="http://schemas.openxmlformats.org/officeDocument/2006/relationships" name="GroundTruth" sheetId="2" r:id="R7d9c29ab61bd435c"/>
    <x:sheet xmlns:r="http://schemas.openxmlformats.org/officeDocument/2006/relationships" name="README" sheetId="3" r:id="Ra19be85716324e05"/>
  </x:sheets>
  <x:definedNames>
    <x:definedName name="_xlnm._FilterDatabase" localSheetId="0" hidden="1">'Products'!$A$1:$AD$101</x:definedName>
    <x:definedName name="_xlnm._FilterDatabase" localSheetId="1" hidden="1">'GroundTruth'!$A$1:$D$101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€ #,##0.00"/>
    <x:numFmt numFmtId="165" formatCode="$ #,##0.00"/>
    <x:numFmt numFmtId="166" formatCode="0.000"/>
    <x:numFmt numFmtId="167" formatCode="0.0%"/>
    <x:numFmt numFmtId="168" formatCode="0.0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Alignment="1">
      <x:alignment horizontal="center" vertical="center" wrapText="1"/>
    </x:xf>
    <x:xf numFmtId="164" fontId="0" fillId="0" borderId="0" xfId="0"/>
    <x:xf numFmtId="165" fontId="0" fillId="0" borderId="0" xfId="0"/>
    <x:xf numFmtId="166" fontId="0" fillId="0" borderId="0" xfId="0"/>
    <x:xf numFmtId="167" fontId="0" fillId="0" borderId="0" xfId="0"/>
    <x:xf numFmtId="168" fontId="0" fillId="0" borderId="0" xfId="0"/>
    <x:xf numFmtId="0" fontId="2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c1ddd135642aa" /><Relationship Type="http://schemas.openxmlformats.org/officeDocument/2006/relationships/theme" Target="/xl/theme/theme1.xml" Id="R1081c357bdfd4c51" /><Relationship Type="http://schemas.openxmlformats.org/officeDocument/2006/relationships/sharedStrings" Target="/xl/sharedStrings.xml" Id="Rff74a069486a4d08" /><Relationship Type="http://schemas.openxmlformats.org/officeDocument/2006/relationships/worksheet" Target="/xl/worksheets/sheet1.xml" Id="Rc0abd34954224644" /><Relationship Type="http://schemas.openxmlformats.org/officeDocument/2006/relationships/worksheet" Target="/xl/worksheets/sheet2.xml" Id="R7d9c29ab61bd435c" /><Relationship Type="http://schemas.openxmlformats.org/officeDocument/2006/relationships/worksheet" Target="/xl/worksheets/sheet3.xml" Id="Ra19be85716324e05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14" customWidth="1"/>
    <x:col min="3" max="3" width="16" customWidth="1"/>
    <x:col min="4" max="4" width="28" customWidth="1"/>
    <x:col min="5" max="5" width="16" customWidth="1"/>
    <x:col min="6" max="6" width="16" customWidth="1"/>
    <x:col min="7" max="7" width="60" customWidth="1"/>
    <x:col min="8" max="8" width="14" customWidth="1"/>
    <x:col min="9" max="9" width="14" customWidth="1"/>
    <x:col min="10" max="10" width="14" customWidth="1"/>
    <x:col min="11" max="11" width="14" customWidth="1"/>
    <x:col min="12" max="12" width="14" customWidth="1"/>
    <x:col min="13" max="13" width="14" customWidth="1"/>
    <x:col min="14" max="14" width="14" customWidth="1"/>
    <x:col min="15" max="15" width="14" customWidth="1"/>
    <x:col min="16" max="16" width="14" customWidth="1"/>
    <x:col min="17" max="17" width="16" customWidth="1"/>
    <x:col min="18" max="18" width="16" customWidth="1"/>
    <x:col min="19" max="19" width="14" customWidth="1"/>
    <x:col min="20" max="20" width="14" customWidth="1"/>
    <x:col min="21" max="21" width="14" customWidth="1"/>
    <x:col min="22" max="22" width="14" customWidth="1"/>
    <x:col min="23" max="23" width="14" customWidth="1"/>
    <x:col min="24" max="24" width="14" customWidth="1"/>
    <x:col min="25" max="25" width="14" customWidth="1"/>
    <x:col min="26" max="26" width="14" customWidth="1"/>
    <x:col min="27" max="27" width="14" customWidth="1"/>
    <x:col min="28" max="28" width="14" customWidth="1"/>
    <x:col min="29" max="29" width="14" customWidth="1"/>
    <x:col min="30" max="30" width="14" customWidth="1"/>
  </x:cols>
  <x:sheetData>
    <x:row r="1">
      <x:c r="A1" s="1" t="inlineStr">
        <x:is>
          <x:t xml:space="preserve">Produkt_ID</x:t>
        </x:is>
      </x:c>
      <x:c r="B1" s="1" t="inlineStr">
        <x:is>
          <x:t xml:space="preserve">SKU</x:t>
        </x:is>
      </x:c>
      <x:c r="C1" s="1" t="inlineStr">
        <x:is>
          <x:t xml:space="preserve">Marke</x:t>
        </x:is>
      </x:c>
      <x:c r="D1" s="1" t="inlineStr">
        <x:is>
          <x:t xml:space="preserve">Produktname</x:t>
        </x:is>
      </x:c>
      <x:c r="E1" s="1" t="inlineStr">
        <x:is>
          <x:t xml:space="preserve">Kategorie_1</x:t>
        </x:is>
      </x:c>
      <x:c r="F1" s="1" t="inlineStr">
        <x:is>
          <x:t xml:space="preserve">Kategorie_2</x:t>
        </x:is>
      </x:c>
      <x:c r="G1" s="1" t="inlineStr">
        <x:is>
          <x:t xml:space="preserve">Beschreibung</x:t>
        </x:is>
      </x:c>
      <x:c r="H1" s="1" t="inlineStr">
        <x:is>
          <x:t xml:space="preserve">Preis_EUR</x:t>
        </x:is>
      </x:c>
      <x:c r="I1" s="1" t="inlineStr">
        <x:is>
          <x:t xml:space="preserve">Preis_USD</x:t>
        </x:is>
      </x:c>
      <x:c r="J1" s="1" t="inlineStr">
        <x:is>
          <x:t xml:space="preserve">EUR_USD_Kurs_Referenz</x:t>
        </x:is>
      </x:c>
      <x:c r="K1" s="1" t="inlineStr">
        <x:is>
          <x:t xml:space="preserve">MwSt_%</x:t>
        </x:is>
      </x:c>
      <x:c r="L1" s="1" t="inlineStr">
        <x:is>
          <x:t xml:space="preserve">Lagerbestand</x:t>
        </x:is>
      </x:c>
      <x:c r="M1" s="1" t="inlineStr">
        <x:is>
          <x:t xml:space="preserve">Gewicht_kg</x:t>
        </x:is>
      </x:c>
      <x:c r="N1" s="1" t="inlineStr">
        <x:is>
          <x:t xml:space="preserve">Länge_cm</x:t>
        </x:is>
      </x:c>
      <x:c r="O1" s="1" t="inlineStr">
        <x:is>
          <x:t xml:space="preserve">Breite_cm</x:t>
        </x:is>
      </x:c>
      <x:c r="P1" s="1" t="inlineStr">
        <x:is>
          <x:t xml:space="preserve">Höhe_cm</x:t>
        </x:is>
      </x:c>
      <x:c r="Q1" s="1" t="inlineStr">
        <x:is>
          <x:t xml:space="preserve">Farbe</x:t>
        </x:is>
      </x:c>
      <x:c r="R1" s="1" t="inlineStr">
        <x:is>
          <x:t xml:space="preserve">Material</x:t>
        </x:is>
      </x:c>
      <x:c r="S1" s="1" t="inlineStr">
        <x:is>
          <x:t xml:space="preserve">Garantie_Monate</x:t>
        </x:is>
      </x:c>
      <x:c r="T1" s="1" t="inlineStr">
        <x:is>
          <x:t xml:space="preserve">Energieeffizienzklasse</x:t>
        </x:is>
      </x:c>
      <x:c r="U1" s="1" t="inlineStr">
        <x:is>
          <x:t xml:space="preserve">Leistung_W</x:t>
        </x:is>
      </x:c>
      <x:c r="V1" s="1" t="inlineStr">
        <x:is>
          <x:t xml:space="preserve">Spannung_V</x:t>
        </x:is>
      </x:c>
      <x:c r="W1" s="1" t="inlineStr">
        <x:is>
          <x:t xml:space="preserve">MHD</x:t>
        </x:is>
      </x:c>
      <x:c r="X1" s="1" t="inlineStr">
        <x:is>
          <x:t xml:space="preserve">Altersfreigabe</x:t>
        </x:is>
      </x:c>
      <x:c r="Y1" s="1" t="inlineStr">
        <x:is>
          <x:t xml:space="preserve">Fenster_gesamt</x:t>
        </x:is>
      </x:c>
      <x:c r="Z1" s="1" t="inlineStr">
        <x:is>
          <x:t xml:space="preserve">Fenster_zu_öffnen</x:t>
        </x:is>
      </x:c>
      <x:c r="AA1" s="1" t="inlineStr">
        <x:is>
          <x:t xml:space="preserve">Herkunftsland</x:t>
        </x:is>
      </x:c>
      <x:c r="AB1" s="1" t="inlineStr">
        <x:is>
          <x:t xml:space="preserve">Preis_USD_soll</x:t>
        </x:is>
      </x:c>
      <x:c r="AC1" s="1" t="inlineStr">
        <x:is>
          <x:t xml:space="preserve">USD_Abweichung_%</x:t>
        </x:is>
      </x:c>
      <x:c r="AD1" s="1" t="inlineStr">
        <x:is>
          <x:t xml:space="preserve">Fenster_Check</x:t>
        </x:is>
      </x:c>
    </x:row>
    <x:row r="2">
      <x:c r="A2" t="inlineStr">
        <x:is>
          <x:t xml:space="preserve">P10001</x:t>
        </x:is>
      </x:c>
      <x:c r="B2" t="inlineStr">
        <x:is>
          <x:t xml:space="preserve">SKU-BHSAHXTH</x:t>
        </x:is>
      </x:c>
      <x:c r="C2" t="inlineStr">
        <x:is>
          <x:t xml:space="preserve">RheinTech</x:t>
        </x:is>
      </x:c>
      <x:c r="D2" t="inlineStr">
        <x:is>
          <x:t xml:space="preserve">RheinTech Schraubenset 4 Pro</x:t>
        </x:is>
      </x:c>
      <x:c r="E2" t="inlineStr">
        <x:is>
          <x:t xml:space="preserve">Baumarkt</x:t>
        </x:is>
      </x:c>
      <x:c r="F2" t="inlineStr">
        <x:is>
          <x:t xml:space="preserve">Schrauben &amp; Nägel</x:t>
        </x:is>
      </x:c>
      <x:c r="G2" t="inlineStr">
        <x:is>
          <x:t xml:space="preserve">RheinTech Schraubenset 4 Pro aus der Kategorie Baumarkt/Schrauben &amp; Nagel. Farbe: schwarz. Material: Polyester. Gewicht: 2.251 kg.</x:t>
        </x:is>
      </x:c>
      <x:c r="H2" s="2" t="n">
        <x:v>127.6</x:v>
      </x:c>
      <x:c r="I2" s="3" t="n">
        <x:v>139.08</x:v>
      </x:c>
      <x:c r="J2" s="4" t="n">
        <x:v>1.09</x:v>
      </x:c>
      <x:c r="K2" s="5" t="n">
        <x:v>19</x:v>
      </x:c>
      <x:c r="L2" t="n">
        <x:v>16</x:v>
      </x:c>
      <x:c r="M2" s="4" t="n">
        <x:v>2.251</x:v>
      </x:c>
      <x:c r="N2" s="6" t="n">
        <x:v>54.7</x:v>
      </x:c>
      <x:c r="O2" s="6" t="n">
        <x:v>1</x:v>
      </x:c>
      <x:c r="P2" s="6" t="n">
        <x:v>5.5</x:v>
      </x:c>
      <x:c r="Q2" t="inlineStr">
        <x:is>
          <x:t xml:space="preserve">schwarz</x:t>
        </x:is>
      </x:c>
      <x:c r="R2" t="inlineStr">
        <x:is>
          <x:t xml:space="preserve">Polyester</x:t>
        </x:is>
      </x:c>
      <x:c r="S2" t="n">
        <x:v>24</x:v>
      </x:c>
      <x:c r="T2" t="inlineStr">
        <x:is>
          <x:t xml:space="preserve"/>
        </x:is>
      </x:c>
      <x:c r="U2" t="inlineStr">
        <x:is>
          <x:t xml:space="preserve"/>
        </x:is>
      </x:c>
      <x:c r="V2" t="inlineStr">
        <x:is>
          <x:t xml:space="preserve"/>
        </x:is>
      </x:c>
      <x:c r="W2" t="inlineStr">
        <x:is>
          <x:t xml:space="preserve">2026-03-02</x:t>
        </x:is>
      </x:c>
      <x:c r="X2" t="inlineStr">
        <x:is>
          <x:t xml:space="preserve"/>
        </x:is>
      </x:c>
      <x:c r="Y2" t="inlineStr">
        <x:is>
          <x:t xml:space="preserve"/>
        </x:is>
      </x:c>
      <x:c r="Z2" t="inlineStr">
        <x:is>
          <x:t xml:space="preserve"/>
        </x:is>
      </x:c>
      <x:c r="AA2" t="inlineStr">
        <x:is>
          <x:t xml:space="preserve">TR</x:t>
        </x:is>
      </x:c>
      <x:c r="AB2" s="3">
        <x:f>IF(OR(ISBLANK(H2),ISBLANK(J2)),"",ROUND(H2*J2,2))</x:f>
        <x:v>139.08</x:v>
      </x:c>
      <x:c r="AC2" s="5">
        <x:f>IF(OR(ISBLANK(I2),ISBLANK(AB2),AB2=0),"",(I2-AB2)/AB2)</x:f>
        <x:v>0</x:v>
      </x:c>
      <x:c r="AD2">
        <x:f>IF(OR(ISBLANK(Y2),ISBLANK(Z2)),"",IF(Z2&gt;Y2,"FEHLER: offen &gt; gesamt","OK"))</x:f>
      </x:c>
    </x:row>
    <x:row r="3">
      <x:c r="A3" t="inlineStr">
        <x:is>
          <x:t xml:space="preserve">P10002</x:t>
        </x:is>
      </x:c>
      <x:c r="B3" t="inlineStr">
        <x:is>
          <x:t xml:space="preserve">SKU-QE7CKW5N</x:t>
        </x:is>
      </x:c>
      <x:c r="C3" t="inlineStr">
        <x:is>
          <x:t xml:space="preserve">AlpenFit</x:t>
        </x:is>
      </x:c>
      <x:c r="D3" t="inlineStr">
        <x:is>
          <x:t xml:space="preserve">AlpenFit Jeans 6</x:t>
        </x:is>
      </x:c>
      <x:c r="E3" t="inlineStr">
        <x:is>
          <x:t xml:space="preserve">Bekleidung</x:t>
        </x:is>
      </x:c>
      <x:c r="F3" t="inlineStr">
        <x:is>
          <x:t xml:space="preserve">Herren</x:t>
        </x:is>
      </x:c>
      <x:c r="G3" t="inlineStr">
        <x:is>
          <x:t xml:space="preserve">AlpenFit Jeans 6 aus der Kategorie Bekleidung/Herren. Farbe: silber. Material: Baumwolle. Gewicht: 2.474 kg.</x:t>
        </x:is>
      </x:c>
      <x:c r="H3" s="2" t="n"/>
      <x:c r="I3" s="3" t="n">
        <x:v>93.36</x:v>
      </x:c>
      <x:c r="J3" s="4" t="n">
        <x:v>1.09</x:v>
      </x:c>
      <x:c r="K3" s="5" t="n">
        <x:v>19</x:v>
      </x:c>
      <x:c r="L3" t="n">
        <x:v>373</x:v>
      </x:c>
      <x:c r="M3" s="4" t="n">
        <x:v>2.474</x:v>
      </x:c>
      <x:c r="N3" s="6" t="n">
        <x:v>57.7</x:v>
      </x:c>
      <x:c r="O3" s="6" t="n">
        <x:v>1</x:v>
      </x:c>
      <x:c r="P3" s="6" t="n">
        <x:v>0.5</x:v>
      </x:c>
      <x:c r="Q3" t="inlineStr">
        <x:is>
          <x:t xml:space="preserve">silber</x:t>
        </x:is>
      </x:c>
      <x:c r="R3" t="inlineStr">
        <x:is>
          <x:t xml:space="preserve">Baumwolle</x:t>
        </x:is>
      </x:c>
      <x:c r="S3" t="n">
        <x:v>0</x:v>
      </x:c>
      <x:c r="T3" t="inlineStr">
        <x:is>
          <x:t xml:space="preserve"/>
        </x:is>
      </x:c>
      <x:c r="U3" t="inlineStr">
        <x:is>
          <x:t xml:space="preserve"/>
        </x:is>
      </x:c>
      <x:c r="V3" t="inlineStr">
        <x:is>
          <x:t xml:space="preserve"/>
        </x:is>
      </x:c>
      <x:c r="W3" t="inlineStr">
        <x:is>
          <x:t xml:space="preserve"/>
        </x:is>
      </x:c>
      <x:c r="X3" t="inlineStr">
        <x:is>
          <x:t xml:space="preserve"/>
        </x:is>
      </x:c>
      <x:c r="Y3" t="inlineStr">
        <x:is>
          <x:t xml:space="preserve"/>
        </x:is>
      </x:c>
      <x:c r="Z3" t="inlineStr">
        <x:is>
          <x:t xml:space="preserve"/>
        </x:is>
      </x:c>
      <x:c r="AA3" t="inlineStr">
        <x:is>
          <x:t xml:space="preserve">VN</x:t>
        </x:is>
      </x:c>
      <x:c r="AB3" s="3">
        <x:f>IF(OR(ISBLANK(H3),ISBLANK(J3)),"",ROUND(H3*J3,2))</x:f>
      </x:c>
      <x:c r="AC3" s="5">
        <x:f>IF(OR(ISBLANK(I3),ISBLANK(AB3),AB3=0),"",(I3-AB3)/AB3)</x:f>
      </x:c>
      <x:c r="AD3">
        <x:f>IF(OR(ISBLANK(Y3),ISBLANK(Z3)),"",IF(Z3&gt;Y3,"FEHLER: offen &gt; gesamt","OK"))</x:f>
      </x:c>
    </x:row>
    <x:row r="4">
      <x:c r="A4" t="inlineStr">
        <x:is>
          <x:t xml:space="preserve">P10003</x:t>
        </x:is>
      </x:c>
      <x:c r="B4" t="inlineStr">
        <x:is>
          <x:t xml:space="preserve">SKU-QE7CKW5N</x:t>
        </x:is>
      </x:c>
      <x:c r="C4" t="inlineStr">
        <x:is>
          <x:t xml:space="preserve">MünsterWerk</x:t>
        </x:is>
      </x:c>
      <x:c r="D4" t="inlineStr">
        <x:is>
          <x:t xml:space="preserve">MünsterWerk Kaffeemaschine 5 Mini</x:t>
        </x:is>
      </x:c>
      <x:c r="E4" t="inlineStr">
        <x:is>
          <x:t xml:space="preserve">Elektronik</x:t>
        </x:is>
      </x:c>
      <x:c r="F4" t="inlineStr">
        <x:is>
          <x:t xml:space="preserve">Haushaltsgeräte</x:t>
        </x:is>
      </x:c>
      <x:c r="G4" t="inlineStr">
        <x:is>
          <x:t xml:space="preserve">MünsterWerk Kaffeemashine 5 Mini aus der Kategorie Elektronik/Haushaltsgeräte. Farbe: weiß. Material: Glas. Gewicht: 0.692 kg.</x:t>
        </x:is>
      </x:c>
      <x:c r="H4" s="2" t="n">
        <x:v>572.39</x:v>
      </x:c>
      <x:c r="I4" s="3" t="n">
        <x:v>623.91</x:v>
      </x:c>
      <x:c r="J4" s="4" t="n">
        <x:v>1.09</x:v>
      </x:c>
      <x:c r="K4" s="5" t="n">
        <x:v>19</x:v>
      </x:c>
      <x:c r="L4" t="n">
        <x:v>479</x:v>
      </x:c>
      <x:c r="M4" s="4" t="n">
        <x:v>0.6919999999999999</x:v>
      </x:c>
      <x:c r="N4" s="6" t="n">
        <x:v>48</x:v>
      </x:c>
      <x:c r="O4" s="6" t="n">
        <x:v>23</x:v>
      </x:c>
      <x:c r="P4" s="6" t="n">
        <x:v>19.2</x:v>
      </x:c>
      <x:c r="Q4" t="inlineStr">
        <x:is>
          <x:t xml:space="preserve">weiß</x:t>
        </x:is>
      </x:c>
      <x:c r="R4" t="inlineStr">
        <x:is>
          <x:t xml:space="preserve">Glas</x:t>
        </x:is>
      </x:c>
      <x:c r="S4" t="n">
        <x:v>24</x:v>
      </x:c>
      <x:c r="T4" t="inlineStr">
        <x:is>
          <x:t xml:space="preserve">F</x:t>
        </x:is>
      </x:c>
      <x:c r="U4" t="n">
        <x:v>297</x:v>
      </x:c>
      <x:c r="V4" t="n">
        <x:v>230</x:v>
      </x:c>
      <x:c r="W4" t="inlineStr">
        <x:is>
          <x:t xml:space="preserve"/>
        </x:is>
      </x:c>
      <x:c r="X4" t="inlineStr">
        <x:is>
          <x:t xml:space="preserve"/>
        </x:is>
      </x:c>
      <x:c r="Y4" t="inlineStr">
        <x:is>
          <x:t xml:space="preserve"/>
        </x:is>
      </x:c>
      <x:c r="Z4" t="inlineStr">
        <x:is>
          <x:t xml:space="preserve"/>
        </x:is>
      </x:c>
      <x:c r="AA4" t="inlineStr">
        <x:is>
          <x:t xml:space="preserve">IT</x:t>
        </x:is>
      </x:c>
      <x:c r="AB4" s="3">
        <x:f>IF(OR(ISBLANK(H4),ISBLANK(J4)),"",ROUND(H4*J4,2))</x:f>
        <x:v>623.91</x:v>
      </x:c>
      <x:c r="AC4" s="5">
        <x:f>IF(OR(ISBLANK(I4),ISBLANK(AB4),AB4=0),"",(I4-AB4)/AB4)</x:f>
        <x:v>0</x:v>
      </x:c>
      <x:c r="AD4">
        <x:f>IF(OR(ISBLANK(Y4),ISBLANK(Z4)),"",IF(Z4&gt;Y4,"FEHLER: offen &gt; gesamt","OK"))</x:f>
      </x:c>
    </x:row>
    <x:row r="5">
      <x:c r="A5" t="inlineStr">
        <x:is>
          <x:t xml:space="preserve">P10004</x:t>
        </x:is>
      </x:c>
      <x:c r="B5" t="inlineStr">
        <x:is>
          <x:t xml:space="preserve">SKU-JIUJV6OH</x:t>
        </x:is>
      </x:c>
      <x:c r="C5" t="inlineStr">
        <x:is>
          <x:t xml:space="preserve">KüstenKlang</x:t>
        </x:is>
      </x:c>
      <x:c r="D5" t="inlineStr">
        <x:is>
          <x:t xml:space="preserve">KüstenKlang Notebook 2 Pro</x:t>
        </x:is>
      </x:c>
      <x:c r="E5" t="inlineStr">
        <x:is>
          <x:t xml:space="preserve">Elektronik</x:t>
        </x:is>
      </x:c>
      <x:c r="F5" t="inlineStr">
        <x:is>
          <x:t xml:space="preserve">Computer</x:t>
        </x:is>
      </x:c>
      <x:c r="G5" t="inlineStr">
        <x:is>
          <x:t xml:space="preserve">KüsteenKlang Notebook 2 Pro aus der Kategorie Elektronik/Computer. Farbe: gelb. Material: Polyester. Gewicht: 0.05 kg.</x:t>
        </x:is>
      </x:c>
      <x:c r="H5" s="2" t="n">
        <x:v>821.13</x:v>
      </x:c>
      <x:c r="I5" s="3" t="n">
        <x:v>895.03</x:v>
      </x:c>
      <x:c r="J5" s="4" t="n">
        <x:v>1.09</x:v>
      </x:c>
      <x:c r="K5" s="5" t="n">
        <x:v>19</x:v>
      </x:c>
      <x:c r="L5" t="n">
        <x:v>452</x:v>
      </x:c>
      <x:c r="M5" s="4" t="n">
        <x:v>0.05</x:v>
      </x:c>
      <x:c r="N5" s="6" t="n">
        <x:v>13.7</x:v>
      </x:c>
      <x:c r="O5" s="6" t="n">
        <x:v>24.1</x:v>
      </x:c>
      <x:c r="P5" s="6" t="n">
        <x:v>23.7</x:v>
      </x:c>
      <x:c r="Q5" t="inlineStr">
        <x:is>
          <x:t xml:space="preserve">gelb</x:t>
        </x:is>
      </x:c>
      <x:c r="R5" t="inlineStr">
        <x:is>
          <x:t xml:space="preserve">Polyester</x:t>
        </x:is>
      </x:c>
      <x:c r="S5" t="n">
        <x:v>24</x:v>
      </x:c>
      <x:c r="T5" t="inlineStr">
        <x:is>
          <x:t xml:space="preserve">F</x:t>
        </x:is>
      </x:c>
      <x:c r="U5" t="n">
        <x:v>1884</x:v>
      </x:c>
      <x:c r="V5" t="n">
        <x:v>12</x:v>
      </x:c>
      <x:c r="W5" t="inlineStr">
        <x:is>
          <x:t xml:space="preserve"/>
        </x:is>
      </x:c>
      <x:c r="X5" t="inlineStr">
        <x:is>
          <x:t xml:space="preserve"/>
        </x:is>
      </x:c>
      <x:c r="Y5" t="inlineStr">
        <x:is>
          <x:t xml:space="preserve"/>
        </x:is>
      </x:c>
      <x:c r="Z5" t="inlineStr">
        <x:is>
          <x:t xml:space="preserve"/>
        </x:is>
      </x:c>
      <x:c r="AA5" t="inlineStr">
        <x:is>
          <x:t xml:space="preserve">CN</x:t>
        </x:is>
      </x:c>
      <x:c r="AB5" s="3">
        <x:f>IF(OR(ISBLANK(H5),ISBLANK(J5)),"",ROUND(H5*J5,2))</x:f>
        <x:v>895.03</x:v>
      </x:c>
      <x:c r="AC5" s="5">
        <x:f>IF(OR(ISBLANK(I5),ISBLANK(AB5),AB5=0),"",(I5-AB5)/AB5)</x:f>
        <x:v>0</x:v>
      </x:c>
      <x:c r="AD5">
        <x:f>IF(OR(ISBLANK(Y5),ISBLANK(Z5)),"",IF(Z5&gt;Y5,"FEHLER: offen &gt; gesamt","OK"))</x:f>
      </x:c>
    </x:row>
    <x:row r="6">
      <x:c r="A6" t="inlineStr">
        <x:is>
          <x:t xml:space="preserve">P10005</x:t>
        </x:is>
      </x:c>
      <x:c r="B6" t="inlineStr">
        <x:is>
          <x:t xml:space="preserve">SKU-JIUJV6OH</x:t>
        </x:is>
      </x:c>
      <x:c r="C6" t="inlineStr">
        <x:is>
          <x:t xml:space="preserve">HansaHome</x:t>
        </x:is>
      </x:c>
      <x:c r="D6" t="inlineStr">
        <x:is>
          <x:t xml:space="preserve">HansaHome Pfanne 2 Mini</x:t>
        </x:is>
      </x:c>
      <x:c r="E6" t="inlineStr">
        <x:is>
          <x:t xml:space="preserve">Haushalt</x:t>
        </x:is>
      </x:c>
      <x:c r="F6" t="inlineStr">
        <x:is>
          <x:t xml:space="preserve">Küche</x:t>
        </x:is>
      </x:c>
      <x:c r="G6" t="inlineStr">
        <x:is>
          <x:t xml:space="preserve">HansaHome Pfanne 2 Mini aus der Kategorie Haushalt/Küche. Farbe: silber. Material: Glas. Gewicht: 2.182 kg.</x:t>
        </x:is>
      </x:c>
      <x:c r="H6" s="2" t="n">
        <x:v>344.62</x:v>
      </x:c>
      <x:c r="I6" s="3" t="n">
        <x:v>375.64</x:v>
      </x:c>
      <x:c r="J6" s="4" t="n">
        <x:v>1.09</x:v>
      </x:c>
      <x:c r="K6" s="5" t="n">
        <x:v>19</x:v>
      </x:c>
      <x:c r="L6" t="n">
        <x:v>5</x:v>
      </x:c>
      <x:c r="M6" s="4" t="n">
        <x:v>2.182</x:v>
      </x:c>
      <x:c r="N6" s="6" t="n">
        <x:v>29.3</x:v>
      </x:c>
      <x:c r="O6" s="6" t="n">
        <x:v>49.3</x:v>
      </x:c>
      <x:c r="P6" s="6" t="n">
        <x:v>5.7</x:v>
      </x:c>
      <x:c r="Q6" t="inlineStr">
        <x:is>
          <x:t xml:space="preserve">silber</x:t>
        </x:is>
      </x:c>
      <x:c r="R6" t="inlineStr">
        <x:is>
          <x:t xml:space="preserve">Glas</x:t>
        </x:is>
      </x:c>
      <x:c r="S6" t="n">
        <x:v>24</x:v>
      </x:c>
      <x:c r="T6" t="inlineStr">
        <x:is>
          <x:t xml:space="preserve">A</x:t>
        </x:is>
      </x:c>
      <x:c r="U6" t="inlineStr">
        <x:is>
          <x:t xml:space="preserve"/>
        </x:is>
      </x:c>
      <x:c r="V6" t="inlineStr">
        <x:is>
          <x:t xml:space="preserve"/>
        </x:is>
      </x:c>
      <x:c r="W6" t="inlineStr">
        <x:is>
          <x:t xml:space="preserve">2026-03-02</x:t>
        </x:is>
      </x:c>
      <x:c r="X6" t="inlineStr">
        <x:is>
          <x:t xml:space="preserve"/>
        </x:is>
      </x:c>
      <x:c r="Y6" t="inlineStr">
        <x:is>
          <x:t xml:space="preserve"/>
        </x:is>
      </x:c>
      <x:c r="Z6" t="inlineStr">
        <x:is>
          <x:t xml:space="preserve"/>
        </x:is>
      </x:c>
      <x:c r="AA6" t="inlineStr">
        <x:is>
          <x:t xml:space="preserve">TR</x:t>
        </x:is>
      </x:c>
      <x:c r="AB6" s="3">
        <x:f>IF(OR(ISBLANK(H6),ISBLANK(J6)),"",ROUND(H6*J6,2))</x:f>
        <x:v>375.64</x:v>
      </x:c>
      <x:c r="AC6" s="5">
        <x:f>IF(OR(ISBLANK(I6),ISBLANK(AB6),AB6=0),"",(I6-AB6)/AB6)</x:f>
        <x:v>0</x:v>
      </x:c>
      <x:c r="AD6">
        <x:f>IF(OR(ISBLANK(Y6),ISBLANK(Z6)),"",IF(Z6&gt;Y6,"FEHLER: offen &gt; gesamt","OK"))</x:f>
      </x:c>
    </x:row>
    <x:row r="7">
      <x:c r="A7" t="inlineStr">
        <x:is>
          <x:t xml:space="preserve">P10006</x:t>
        </x:is>
      </x:c>
      <x:c r="B7" t="inlineStr">
        <x:is>
          <x:t xml:space="preserve">SKU-LA753LC5</x:t>
        </x:is>
      </x:c>
      <x:c r="C7" t="inlineStr">
        <x:is>
          <x:t xml:space="preserve">AlpenFit</x:t>
        </x:is>
      </x:c>
      <x:c r="D7" t="inlineStr">
        <x:is>
          <x:t xml:space="preserve">AlpenFit Schraubenset 4 Pro</x:t>
        </x:is>
      </x:c>
      <x:c r="E7" t="inlineStr">
        <x:is>
          <x:t xml:space="preserve">Baumarkt</x:t>
        </x:is>
      </x:c>
      <x:c r="F7" t="inlineStr">
        <x:is>
          <x:t xml:space="preserve">Schrauben &amp; Nägel</x:t>
        </x:is>
      </x:c>
      <x:c r="G7" t="inlineStr">
        <x:is>
          <x:t xml:space="preserve">AlpenFit Schraubenset 4 Pro aus der Kategorie Baumarkt/Schrauben &amp; Nägel. Farbe: beige. Material: Leder. Gewicht: 2.246 kg.</x:t>
        </x:is>
      </x:c>
      <x:c r="H7" s="2" t="n">
        <x:v>337.71</x:v>
      </x:c>
      <x:c r="I7" s="3" t="n">
        <x:v>368.1</x:v>
      </x:c>
      <x:c r="J7" s="4" t="n">
        <x:v>1.09</x:v>
      </x:c>
      <x:c r="K7" s="5" t="n">
        <x:v>19</x:v>
      </x:c>
      <x:c r="L7" t="n">
        <x:v>306</x:v>
      </x:c>
      <x:c r="M7" s="4" t="n">
        <x:v>2.246</x:v>
      </x:c>
      <x:c r="N7" s="6" t="n">
        <x:v>82.59999999999999</x:v>
      </x:c>
      <x:c r="O7" s="6" t="n">
        <x:v>49.7</x:v>
      </x:c>
      <x:c r="P7" s="6" t="n">
        <x:v>0.5</x:v>
      </x:c>
      <x:c r="Q7" t="inlineStr">
        <x:is>
          <x:t xml:space="preserve">beige</x:t>
        </x:is>
      </x:c>
      <x:c r="R7" t="inlineStr">
        <x:is>
          <x:t xml:space="preserve">Leder</x:t>
        </x:is>
      </x:c>
      <x:c r="S7" t="n">
        <x:v>24</x:v>
      </x:c>
      <x:c r="T7" t="inlineStr">
        <x:is>
          <x:t xml:space="preserve"/>
        </x:is>
      </x:c>
      <x:c r="U7" t="inlineStr">
        <x:is>
          <x:t xml:space="preserve"/>
        </x:is>
      </x:c>
      <x:c r="V7" t="inlineStr">
        <x:is>
          <x:t xml:space="preserve"/>
        </x:is>
      </x:c>
      <x:c r="W7" t="inlineStr">
        <x:is>
          <x:t xml:space="preserve"/>
        </x:is>
      </x:c>
      <x:c r="X7" t="inlineStr">
        <x:is>
          <x:t xml:space="preserve"/>
        </x:is>
      </x:c>
      <x:c r="Y7" t="inlineStr">
        <x:is>
          <x:t xml:space="preserve"/>
        </x:is>
      </x:c>
      <x:c r="Z7" t="inlineStr">
        <x:is>
          <x:t xml:space="preserve"/>
        </x:is>
      </x:c>
      <x:c r="AA7" t="inlineStr">
        <x:is>
          <x:t xml:space="preserve">PL</x:t>
        </x:is>
      </x:c>
      <x:c r="AB7" s="3">
        <x:f>IF(OR(ISBLANK(H7),ISBLANK(J7)),"",ROUND(H7*J7,2))</x:f>
        <x:v>368.1</x:v>
      </x:c>
      <x:c r="AC7" s="5">
        <x:f>IF(OR(ISBLANK(I7),ISBLANK(AB7),AB7=0),"",(I7-AB7)/AB7)</x:f>
        <x:v>0</x:v>
      </x:c>
      <x:c r="AD7">
        <x:f>IF(OR(ISBLANK(Y7),ISBLANK(Z7)),"",IF(Z7&gt;Y7,"FEHLER: offen &gt; gesamt","OK"))</x:f>
      </x:c>
    </x:row>
    <x:row r="8">
      <x:c r="A8" t="inlineStr">
        <x:is>
          <x:t xml:space="preserve">P10007</x:t>
        </x:is>
      </x:c>
      <x:c r="B8" t="inlineStr">
        <x:is>
          <x:t xml:space="preserve">SKU-T0HL9XPS</x:t>
        </x:is>
      </x:c>
      <x:c r="C8" t="inlineStr">
        <x:is>
          <x:t xml:space="preserve">RheinTech</x:t>
        </x:is>
      </x:c>
      <x:c r="D8" t="inlineStr">
        <x:is>
          <x:t xml:space="preserve">RheinTech Puzzle 3 Mini</x:t>
        </x:is>
      </x:c>
      <x:c r="E8" t="inlineStr">
        <x:is>
          <x:t xml:space="preserve">Spielwaren</x:t>
        </x:is>
      </x:c>
      <x:c r="F8" t="inlineStr">
        <x:is>
          <x:t xml:space="preserve">4-8</x:t>
        </x:is>
      </x:c>
      <x:c r="G8" t="inlineStr">
        <x:is>
          <x:t xml:space="preserve">RheinTech Puzzle 3 Mini aus der Kategorie Spielwaren/4-8. Farbe: beige. Material: Aluminium. Gewicht: 1.698 kg.</x:t>
        </x:is>
      </x:c>
      <x:c r="H8" s="2" t="n">
        <x:v>851.35</x:v>
      </x:c>
      <x:c r="I8" s="3" t="n">
        <x:v>927.97</x:v>
      </x:c>
      <x:c r="J8" s="4" t="n">
        <x:v>1.09</x:v>
      </x:c>
      <x:c r="K8" s="5" t="n">
        <x:v>19</x:v>
      </x:c>
      <x:c r="L8" t="n">
        <x:v>475</x:v>
      </x:c>
      <x:c r="M8" s="4" t="n">
        <x:v>1.698</x:v>
      </x:c>
      <x:c r="N8" s="6" t="n">
        <x:v>56.4</x:v>
      </x:c>
      <x:c r="O8" s="6" t="n">
        <x:v>1</x:v>
      </x:c>
      <x:c r="P8" s="6" t="n">
        <x:v>0.5</x:v>
      </x:c>
      <x:c r="Q8" t="inlineStr">
        <x:is>
          <x:t xml:space="preserve">beige</x:t>
        </x:is>
      </x:c>
      <x:c r="R8" t="inlineStr">
        <x:is>
          <x:t xml:space="preserve">Aluminium</x:t>
        </x:is>
      </x:c>
      <x:c r="S8" t="n">
        <x:v>0</x:v>
      </x:c>
      <x:c r="T8" t="inlineStr">
        <x:is>
          <x:t xml:space="preserve"/>
        </x:is>
      </x:c>
      <x:c r="U8" t="inlineStr">
        <x:is>
          <x:t xml:space="preserve"/>
        </x:is>
      </x:c>
      <x:c r="V8" t="inlineStr">
        <x:is>
          <x:t xml:space="preserve"/>
        </x:is>
      </x:c>
      <x:c r="W8" t="inlineStr">
        <x:is>
          <x:t xml:space="preserve"/>
        </x:is>
      </x:c>
      <x:c r="X8" t="inlineStr">
        <x:is>
          <x:t xml:space="preserve">4+</x:t>
        </x:is>
      </x:c>
      <x:c r="Y8" t="inlineStr">
        <x:is>
          <x:t xml:space="preserve"/>
        </x:is>
      </x:c>
      <x:c r="Z8" t="inlineStr">
        <x:is>
          <x:t xml:space="preserve"/>
        </x:is>
      </x:c>
      <x:c r="AA8" t="inlineStr">
        <x:is>
          <x:t xml:space="preserve">PL</x:t>
        </x:is>
      </x:c>
      <x:c r="AB8" s="3">
        <x:f>IF(OR(ISBLANK(H8),ISBLANK(J8)),"",ROUND(H8*J8,2))</x:f>
        <x:v>927.97</x:v>
      </x:c>
      <x:c r="AC8" s="5">
        <x:f>IF(OR(ISBLANK(I8),ISBLANK(AB8),AB8=0),"",(I8-AB8)/AB8)</x:f>
        <x:v>0</x:v>
      </x:c>
      <x:c r="AD8">
        <x:f>IF(OR(ISBLANK(Y8),ISBLANK(Z8)),"",IF(Z8&gt;Y8,"FEHLER: offen &gt; gesamt","OK"))</x:f>
      </x:c>
    </x:row>
    <x:row r="9">
      <x:c r="A9" t="inlineStr">
        <x:is>
          <x:t xml:space="preserve">P10008</x:t>
        </x:is>
      </x:c>
      <x:c r="B9" t="inlineStr">
        <x:is>
          <x:t xml:space="preserve">SKU-SKRT05UI</x:t>
        </x:is>
      </x:c>
      <x:c r="C9" t="inlineStr">
        <x:is>
          <x:t xml:space="preserve">KüstenKlang</x:t>
        </x:is>
      </x:c>
      <x:c r="D9" t="inlineStr">
        <x:is>
          <x:t xml:space="preserve">KüstenKlang Kaffeemaschine 9 Pro</x:t>
        </x:is>
      </x:c>
      <x:c r="E9" t="inlineStr">
        <x:is>
          <x:t xml:space="preserve">Elektronik</x:t>
        </x:is>
      </x:c>
      <x:c r="F9" t="inlineStr">
        <x:is>
          <x:t xml:space="preserve">Haushaltsgeräte</x:t>
        </x:is>
      </x:c>
      <x:c r="G9" t="inlineStr">
        <x:is>
          <x:t xml:space="preserve">KüsteenKlang Kaffeemaschine 9 Pro aus der Kategorie Elektronik/Haushaltsgeräte. Farbe: schwarz. Material: Leder. Gewicht: 2.454 kg.</x:t>
        </x:is>
      </x:c>
      <x:c r="H9" s="2" t="n">
        <x:v>530.04</x:v>
      </x:c>
      <x:c r="I9" s="3" t="n">
        <x:v>577.74</x:v>
      </x:c>
      <x:c r="J9" s="4" t="n">
        <x:v>1.09</x:v>
      </x:c>
      <x:c r="K9" s="5" t="n">
        <x:v>19</x:v>
      </x:c>
      <x:c r="L9" t="n">
        <x:v>16</x:v>
      </x:c>
      <x:c r="M9" s="4" t="n">
        <x:v>2.454</x:v>
      </x:c>
      <x:c r="N9" s="6" t="n">
        <x:v>31.8</x:v>
      </x:c>
      <x:c r="O9" s="6" t="n">
        <x:v>25.2</x:v>
      </x:c>
      <x:c r="P9" s="6" t="n">
        <x:v>11.6</x:v>
      </x:c>
      <x:c r="Q9" t="inlineStr">
        <x:is>
          <x:t xml:space="preserve">schwarz</x:t>
        </x:is>
      </x:c>
      <x:c r="R9" t="inlineStr">
        <x:is>
          <x:t xml:space="preserve">Leder</x:t>
        </x:is>
      </x:c>
      <x:c r="S9" t="n">
        <x:v>24</x:v>
      </x:c>
      <x:c r="T9" t="inlineStr">
        <x:is>
          <x:t xml:space="preserve">G</x:t>
        </x:is>
      </x:c>
      <x:c r="U9" t="n">
        <x:v>1358</x:v>
      </x:c>
      <x:c r="V9" t="n">
        <x:v>12</x:v>
      </x:c>
      <x:c r="W9" t="inlineStr">
        <x:is>
          <x:t xml:space="preserve">2026-03-02</x:t>
        </x:is>
      </x:c>
      <x:c r="X9" t="inlineStr">
        <x:is>
          <x:t xml:space="preserve"/>
        </x:is>
      </x:c>
      <x:c r="Y9" t="inlineStr">
        <x:is>
          <x:t xml:space="preserve"/>
        </x:is>
      </x:c>
      <x:c r="Z9" t="inlineStr">
        <x:is>
          <x:t xml:space="preserve"/>
        </x:is>
      </x:c>
      <x:c r="AA9" t="inlineStr">
        <x:is>
          <x:t xml:space="preserve">NL</x:t>
        </x:is>
      </x:c>
      <x:c r="AB9" s="3">
        <x:f>IF(OR(ISBLANK(H9),ISBLANK(J9)),"",ROUND(H9*J9,2))</x:f>
        <x:v>577.74</x:v>
      </x:c>
      <x:c r="AC9" s="5">
        <x:f>IF(OR(ISBLANK(I9),ISBLANK(AB9),AB9=0),"",(I9-AB9)/AB9)</x:f>
        <x:v>0</x:v>
      </x:c>
      <x:c r="AD9">
        <x:f>IF(OR(ISBLANK(Y9),ISBLANK(Z9)),"",IF(Z9&gt;Y9,"FEHLER: offen &gt; gesamt","OK"))</x:f>
      </x:c>
    </x:row>
    <x:row r="10">
      <x:c r="A10" t="inlineStr">
        <x:is>
          <x:t xml:space="preserve">P10009</x:t>
        </x:is>
      </x:c>
      <x:c r="B10" t="inlineStr">
        <x:is>
          <x:t xml:space="preserve">SKU-SKRT05UI</x:t>
        </x:is>
      </x:c>
      <x:c r="C10" t="inlineStr">
        <x:is>
          <x:t xml:space="preserve">Berg &amp; Tal</x:t>
        </x:is>
      </x:c>
      <x:c r="D10" t="inlineStr">
        <x:is>
          <x:t xml:space="preserve">Berg &amp; Tal Scheibenwischer 7 Mini</x:t>
        </x:is>
      </x:c>
      <x:c r="E10" t="inlineStr">
        <x:is>
          <x:t xml:space="preserve">Auto</x:t>
        </x:is>
      </x:c>
      <x:c r="F10" t="inlineStr">
        <x:is>
          <x:t xml:space="preserve">Zubehör</x:t>
        </x:is>
      </x:c>
      <x:c r="G10" t="inlineStr">
        <x:is>
          <x:t xml:space="preserve">Berg &amp; Tal Scheibenwischer 7 Mini aus der Kategorie Auto/Zubehör. Farbe: grün. Material: Glas. Gewicht: 2.298 kg.</x:t>
        </x:is>
      </x:c>
      <x:c r="H10" s="2" t="n">
        <x:v>776.9299999999999</x:v>
      </x:c>
      <x:c r="I10" s="3" t="n">
        <x:v>846.85</x:v>
      </x:c>
      <x:c r="J10" s="4" t="n">
        <x:v>1.09</x:v>
      </x:c>
      <x:c r="K10" s="5" t="n">
        <x:v>19</x:v>
      </x:c>
      <x:c r="L10" t="n">
        <x:v>372</x:v>
      </x:c>
      <x:c r="M10" s="4" t="n">
        <x:v>2.298</x:v>
      </x:c>
      <x:c r="N10" s="6" t="n">
        <x:v>42.2</x:v>
      </x:c>
      <x:c r="O10" s="6" t="n">
        <x:v>16.8</x:v>
      </x:c>
      <x:c r="P10" s="6" t="n">
        <x:v>6.6</x:v>
      </x:c>
      <x:c r="Q10" t="inlineStr">
        <x:is>
          <x:t xml:space="preserve">grün</x:t>
        </x:is>
      </x:c>
      <x:c r="R10" t="inlineStr">
        <x:is>
          <x:t xml:space="preserve">Glas</x:t>
        </x:is>
      </x:c>
      <x:c r="S10" t="n">
        <x:v>24</x:v>
      </x:c>
      <x:c r="T10" t="inlineStr">
        <x:is>
          <x:t xml:space="preserve"/>
        </x:is>
      </x:c>
      <x:c r="U10" t="inlineStr">
        <x:is>
          <x:t xml:space="preserve"/>
        </x:is>
      </x:c>
      <x:c r="V10" t="inlineStr">
        <x:is>
          <x:t xml:space="preserve"/>
        </x:is>
      </x:c>
      <x:c r="W10" t="inlineStr">
        <x:is>
          <x:t xml:space="preserve"/>
        </x:is>
      </x:c>
      <x:c r="X10" t="inlineStr">
        <x:is>
          <x:t xml:space="preserve"/>
        </x:is>
      </x:c>
      <x:c r="Y10" t="inlineStr">
        <x:is>
          <x:t xml:space="preserve"/>
        </x:is>
      </x:c>
      <x:c r="Z10" t="inlineStr">
        <x:is>
          <x:t xml:space="preserve"/>
        </x:is>
      </x:c>
      <x:c r="AA10" t="inlineStr">
        <x:is>
          <x:t xml:space="preserve">PL</x:t>
        </x:is>
      </x:c>
      <x:c r="AB10" s="3">
        <x:f>IF(OR(ISBLANK(H10),ISBLANK(J10)),"",ROUND(H10*J10,2))</x:f>
        <x:v>846.85</x:v>
      </x:c>
      <x:c r="AC10" s="5">
        <x:f>IF(OR(ISBLANK(I10),ISBLANK(AB10),AB10=0),"",(I10-AB10)/AB10)</x:f>
        <x:v>0</x:v>
      </x:c>
      <x:c r="AD10">
        <x:f>IF(OR(ISBLANK(Y10),ISBLANK(Z10)),"",IF(Z10&gt;Y10,"FEHLER: offen &gt; gesamt","OK"))</x:f>
      </x:c>
    </x:row>
    <x:row r="11">
      <x:c r="A11" t="inlineStr">
        <x:is>
          <x:t xml:space="preserve">P10010</x:t>
        </x:is>
      </x:c>
      <x:c r="B11" t="inlineStr">
        <x:is>
          <x:t xml:space="preserve">SKU-FAO72KZ0</x:t>
        </x:is>
      </x:c>
      <x:c r="C11" t="inlineStr">
        <x:is>
          <x:t xml:space="preserve">RheinTech</x:t>
        </x:is>
      </x:c>
      <x:c r="D11" t="inlineStr">
        <x:is>
          <x:t xml:space="preserve">RheinTech Joghurt 1</x:t>
        </x:is>
      </x:c>
      <x:c r="E11" t="inlineStr">
        <x:is>
          <x:t xml:space="preserve">Lebensmittel</x:t>
        </x:is>
      </x:c>
      <x:c r="F11" t="inlineStr">
        <x:is>
          <x:t xml:space="preserve">Frische</x:t>
        </x:is>
      </x:c>
      <x:c r="G11" t="inlineStr">
        <x:is>
          <x:t xml:space="preserve">RheinTech Joghurt 1 aus der Kategorie Lebensmittel/Frische. Farbe: schwarz. Material: Gummi. Gewicht: 1.48 kg.</x:t>
        </x:is>
      </x:c>
      <x:c r="H11" s="2" t="n">
        <x:v>832.99</x:v>
      </x:c>
      <x:c r="I11" s="3" t="n">
        <x:v>907.96</x:v>
      </x:c>
      <x:c r="J11" s="4" t="n">
        <x:v>1.09</x:v>
      </x:c>
      <x:c r="K11" s="5" t="n">
        <x:v>7</x:v>
      </x:c>
      <x:c r="L11" t="n">
        <x:v>205</x:v>
      </x:c>
      <x:c r="M11" s="4" t="n">
        <x:v>1.48</x:v>
      </x:c>
      <x:c r="N11" s="6" t="n">
        <x:v>17.7</x:v>
      </x:c>
      <x:c r="O11" s="6" t="n">
        <x:v>9.6</x:v>
      </x:c>
      <x:c r="P11" s="6" t="n">
        <x:v>10.7</x:v>
      </x:c>
      <x:c r="Q11" t="inlineStr">
        <x:is>
          <x:t xml:space="preserve">schwarz</x:t>
        </x:is>
      </x:c>
      <x:c r="R11" t="inlineStr">
        <x:is>
          <x:t xml:space="preserve">Gummi</x:t>
        </x:is>
      </x:c>
      <x:c r="S11" t="n">
        <x:v>0</x:v>
      </x:c>
      <x:c r="T11" t="inlineStr">
        <x:is>
          <x:t xml:space="preserve"/>
        </x:is>
      </x:c>
      <x:c r="U11" t="inlineStr">
        <x:is>
          <x:t xml:space="preserve"/>
        </x:is>
      </x:c>
      <x:c r="V11" t="inlineStr">
        <x:is>
          <x:t xml:space="preserve"/>
        </x:is>
      </x:c>
      <x:c r="W11" t="inlineStr">
        <x:is>
          <x:t xml:space="preserve">2026-02-20</x:t>
        </x:is>
      </x:c>
      <x:c r="X11" t="inlineStr">
        <x:is>
          <x:t xml:space="preserve"/>
        </x:is>
      </x:c>
      <x:c r="Y11" t="inlineStr">
        <x:is>
          <x:t xml:space="preserve"/>
        </x:is>
      </x:c>
      <x:c r="Z11" t="inlineStr">
        <x:is>
          <x:t xml:space="preserve"/>
        </x:is>
      </x:c>
      <x:c r="AA11" t="inlineStr">
        <x:is>
          <x:t xml:space="preserve">NL</x:t>
        </x:is>
      </x:c>
      <x:c r="AB11" s="3">
        <x:f>IF(OR(ISBLANK(H11),ISBLANK(J11)),"",ROUND(H11*J11,2))</x:f>
        <x:v>907.96</x:v>
      </x:c>
      <x:c r="AC11" s="5">
        <x:f>IF(OR(ISBLANK(I11),ISBLANK(AB11),AB11=0),"",(I11-AB11)/AB11)</x:f>
        <x:v>0</x:v>
      </x:c>
      <x:c r="AD11">
        <x:f>IF(OR(ISBLANK(Y11),ISBLANK(Z11)),"",IF(Z11&gt;Y11,"FEHLER: offen &gt; gesamt","OK"))</x:f>
      </x:c>
    </x:row>
    <x:row r="12">
      <x:c r="A12" t="inlineStr">
        <x:is>
          <x:t xml:space="preserve">P10011</x:t>
        </x:is>
      </x:c>
      <x:c r="B12" t="inlineStr">
        <x:is>
          <x:t xml:space="preserve">SKU-CS4CC5O7</x:t>
        </x:is>
      </x:c>
      <x:c r="C12" t="inlineStr">
        <x:is>
          <x:t xml:space="preserve">MünsterWerk</x:t>
        </x:is>
      </x:c>
      <x:c r="D12" t="inlineStr">
        <x:is>
          <x:t xml:space="preserve">MünsterWerk Strickpullover 9</x:t>
        </x:is>
      </x:c>
      <x:c r="E12" t="inlineStr">
        <x:is>
          <x:t xml:space="preserve">Bekleidung</x:t>
        </x:is>
      </x:c>
      <x:c r="F12" t="inlineStr">
        <x:is>
          <x:t xml:space="preserve">Damen</x:t>
        </x:is>
      </x:c>
      <x:c r="G12" t="inlineStr">
        <x:is>
          <x:t xml:space="preserve">MunsterWerk Strickpullover 9 aus der Kategorie Bekleidung/Damen. Farbe: schwarz. Material: Leder. Gewicht: 2.192 kg.</x:t>
        </x:is>
      </x:c>
      <x:c r="H12" s="2" t="n">
        <x:v>673.0599999999999</x:v>
      </x:c>
      <x:c r="I12" s="3" t="n">
        <x:v>733.64</x:v>
      </x:c>
      <x:c r="J12" s="4" t="n">
        <x:v>1.09</x:v>
      </x:c>
      <x:c r="K12" s="5" t="n">
        <x:v>19</x:v>
      </x:c>
      <x:c r="L12" t="n">
        <x:v>80</x:v>
      </x:c>
      <x:c r="M12" s="4" t="n">
        <x:v>2.192</x:v>
      </x:c>
      <x:c r="N12" s="6" t="n">
        <x:v>41.6</x:v>
      </x:c>
      <x:c r="O12" s="6" t="n">
        <x:v>1</x:v>
      </x:c>
      <x:c r="P12" s="6" t="n">
        <x:v>9.6</x:v>
      </x:c>
      <x:c r="Q12" t="inlineStr">
        <x:is>
          <x:t xml:space="preserve">schwarz</x:t>
        </x:is>
      </x:c>
      <x:c r="R12" t="inlineStr">
        <x:is>
          <x:t xml:space="preserve">Leder</x:t>
        </x:is>
      </x:c>
      <x:c r="S12" t="n">
        <x:v>0</x:v>
      </x:c>
      <x:c r="T12" t="inlineStr">
        <x:is>
          <x:t xml:space="preserve"/>
        </x:is>
      </x:c>
      <x:c r="U12" t="inlineStr">
        <x:is>
          <x:t xml:space="preserve"/>
        </x:is>
      </x:c>
      <x:c r="V12" t="inlineStr">
        <x:is>
          <x:t xml:space="preserve"/>
        </x:is>
      </x:c>
      <x:c r="W12" t="inlineStr">
        <x:is>
          <x:t xml:space="preserve"/>
        </x:is>
      </x:c>
      <x:c r="X12" t="inlineStr">
        <x:is>
          <x:t xml:space="preserve"/>
        </x:is>
      </x:c>
      <x:c r="Y12" t="inlineStr">
        <x:is>
          <x:t xml:space="preserve"/>
        </x:is>
      </x:c>
      <x:c r="Z12" t="inlineStr">
        <x:is>
          <x:t xml:space="preserve"/>
        </x:is>
      </x:c>
      <x:c r="AA12" t="inlineStr">
        <x:is>
          <x:t xml:space="preserve">VN</x:t>
        </x:is>
      </x:c>
      <x:c r="AB12" s="3">
        <x:f>IF(OR(ISBLANK(H12),ISBLANK(J12)),"",ROUND(H12*J12,2))</x:f>
        <x:v>733.64</x:v>
      </x:c>
      <x:c r="AC12" s="5">
        <x:f>IF(OR(ISBLANK(I12),ISBLANK(AB12),AB12=0),"",(I12-AB12)/AB12)</x:f>
        <x:v>0</x:v>
      </x:c>
      <x:c r="AD12">
        <x:f>IF(OR(ISBLANK(Y12),ISBLANK(Z12)),"",IF(Z12&gt;Y12,"FEHLER: offen &gt; gesamt","OK"))</x:f>
      </x:c>
    </x:row>
    <x:row r="13">
      <x:c r="A13" t="inlineStr">
        <x:is>
          <x:t xml:space="preserve">P10012</x:t>
        </x:is>
      </x:c>
      <x:c r="B13" t="inlineStr">
        <x:is>
          <x:t xml:space="preserve">SKU-L1CQ99CH</x:t>
        </x:is>
      </x:c>
      <x:c r="C13" t="inlineStr">
        <x:is>
          <x:t xml:space="preserve">Berg &amp; Tal</x:t>
        </x:is>
      </x:c>
      <x:c r="D13" t="inlineStr">
        <x:is>
          <x:t xml:space="preserve">Berg &amp; Tal Kaffeemaschine 9 XL</x:t>
        </x:is>
      </x:c>
      <x:c r="E13" t="inlineStr">
        <x:is>
          <x:t xml:space="preserve">Elektronik</x:t>
        </x:is>
      </x:c>
      <x:c r="F13" t="inlineStr">
        <x:is>
          <x:t xml:space="preserve">Haushaltsgeräte</x:t>
        </x:is>
      </x:c>
      <x:c r="G13" t="inlineStr">
        <x:is>
          <x:t xml:space="preserve">Berg &amp; Tal Kaffeemaschine 9 XL aus der Kategorie Elektronik/Haushaltsgeräte. Farbe: pink. Material: Leder. Gewicht: 1.56 kg.</x:t>
        </x:is>
      </x:c>
      <x:c r="H13" s="2" t="n">
        <x:v>840.46</x:v>
      </x:c>
      <x:c r="I13" s="3" t="n">
        <x:v>916.1</x:v>
      </x:c>
      <x:c r="J13" s="4" t="n">
        <x:v>1.09</x:v>
      </x:c>
      <x:c r="K13" s="5" t="n">
        <x:v>19</x:v>
      </x:c>
      <x:c r="L13" t="n">
        <x:v>343</x:v>
      </x:c>
      <x:c r="M13" s="4" t="n">
        <x:v>1.56</x:v>
      </x:c>
      <x:c r="N13" s="6" t="n">
        <x:v>68.09999999999999</x:v>
      </x:c>
      <x:c r="O13" s="6" t="n">
        <x:v>21.1</x:v>
      </x:c>
      <x:c r="P13" s="6" t="n">
        <x:v>22</x:v>
      </x:c>
      <x:c r="Q13" t="inlineStr">
        <x:is>
          <x:t xml:space="preserve">pink</x:t>
        </x:is>
      </x:c>
      <x:c r="R13" t="inlineStr">
        <x:is>
          <x:t xml:space="preserve">Leder</x:t>
        </x:is>
      </x:c>
      <x:c r="S13" t="n">
        <x:v>24</x:v>
      </x:c>
      <x:c r="T13" t="inlineStr">
        <x:is>
          <x:t xml:space="preserve">F</x:t>
        </x:is>
      </x:c>
      <x:c r="U13" t="n">
        <x:v>1233</x:v>
      </x:c>
      <x:c r="V13" t="n">
        <x:v>18</x:v>
      </x:c>
      <x:c r="W13" t="inlineStr">
        <x:is>
          <x:t xml:space="preserve"/>
        </x:is>
      </x:c>
      <x:c r="X13" t="inlineStr">
        <x:is>
          <x:t xml:space="preserve"/>
        </x:is>
      </x:c>
      <x:c r="Y13" t="inlineStr">
        <x:is>
          <x:t xml:space="preserve"/>
        </x:is>
      </x:c>
      <x:c r="Z13" t="inlineStr">
        <x:is>
          <x:t xml:space="preserve"/>
        </x:is>
      </x:c>
      <x:c r="AA13" t="inlineStr">
        <x:is>
          <x:t xml:space="preserve">TR</x:t>
        </x:is>
      </x:c>
      <x:c r="AB13" s="3">
        <x:f>IF(OR(ISBLANK(H13),ISBLANK(J13)),"",ROUND(H13*J13,2))</x:f>
        <x:v>916.1</x:v>
      </x:c>
      <x:c r="AC13" s="5">
        <x:f>IF(OR(ISBLANK(I13),ISBLANK(AB13),AB13=0),"",(I13-AB13)/AB13)</x:f>
        <x:v>0</x:v>
      </x:c>
      <x:c r="AD13">
        <x:f>IF(OR(ISBLANK(Y13),ISBLANK(Z13)),"",IF(Z13&gt;Y13,"FEHLER: offen &gt; gesamt","OK"))</x:f>
      </x:c>
    </x:row>
    <x:row r="14">
      <x:c r="A14" t="inlineStr">
        <x:is>
          <x:t xml:space="preserve">P10013</x:t>
        </x:is>
      </x:c>
      <x:c r="B14" t="inlineStr">
        <x:is>
          <x:t xml:space="preserve">SKU-A3KX7EED</x:t>
        </x:is>
      </x:c>
      <x:c r="C14" t="inlineStr">
        <x:is>
          <x:t xml:space="preserve">RheinTech</x:t>
        </x:is>
      </x:c>
      <x:c r="D14" t="inlineStr">
        <x:is>
          <x:t xml:space="preserve">RheinTech Regenjacke 5 Pro</x:t>
        </x:is>
      </x:c>
      <x:c r="E14" t="inlineStr">
        <x:is>
          <x:t xml:space="preserve">Bekleidung</x:t>
        </x:is>
      </x:c>
      <x:c r="F14" t="inlineStr">
        <x:is>
          <x:t xml:space="preserve">Kinder</x:t>
        </x:is>
      </x:c>
      <x:c r="G14" t="inlineStr">
        <x:is>
          <x:t xml:space="preserve">RheinTech Regenjacke 5 Pro aus der Kategorie Bekleidung/Kinder. Farbe: rot. Material: Holz. Gewicht: 0.546 kg.</x:t>
        </x:is>
      </x:c>
      <x:c r="H14" s="2" t="n">
        <x:v>395.33</x:v>
      </x:c>
      <x:c r="I14" s="3" t="n">
        <x:v>430.91</x:v>
      </x:c>
      <x:c r="J14" s="4" t="n">
        <x:v>1.09</x:v>
      </x:c>
      <x:c r="K14" s="5" t="n">
        <x:v>19</x:v>
      </x:c>
      <x:c r="L14" t="n">
        <x:v>270</x:v>
      </x:c>
      <x:c r="M14" s="4" t="n">
        <x:v>0.546</x:v>
      </x:c>
      <x:c r="N14" s="6" t="n">
        <x:v>24.3</x:v>
      </x:c>
      <x:c r="O14" s="6" t="n">
        <x:v>47.1</x:v>
      </x:c>
      <x:c r="P14" s="6" t="n">
        <x:v>7.8</x:v>
      </x:c>
      <x:c r="Q14" t="inlineStr">
        <x:is>
          <x:t xml:space="preserve">rot</x:t>
        </x:is>
      </x:c>
      <x:c r="R14" t="inlineStr">
        <x:is>
          <x:t xml:space="preserve">Holz</x:t>
        </x:is>
      </x:c>
      <x:c r="S14" t="n">
        <x:v>0</x:v>
      </x:c>
      <x:c r="T14" t="inlineStr">
        <x:is>
          <x:t xml:space="preserve">A</x:t>
        </x:is>
      </x:c>
      <x:c r="U14" t="inlineStr">
        <x:is>
          <x:t xml:space="preserve"/>
        </x:is>
      </x:c>
      <x:c r="V14" t="inlineStr">
        <x:is>
          <x:t xml:space="preserve"/>
        </x:is>
      </x:c>
      <x:c r="W14" t="inlineStr">
        <x:is>
          <x:t xml:space="preserve"/>
        </x:is>
      </x:c>
      <x:c r="X14" t="inlineStr">
        <x:is>
          <x:t xml:space="preserve"/>
        </x:is>
      </x:c>
      <x:c r="Y14" t="inlineStr">
        <x:is>
          <x:t xml:space="preserve"/>
        </x:is>
      </x:c>
      <x:c r="Z14" t="inlineStr">
        <x:is>
          <x:t xml:space="preserve"/>
        </x:is>
      </x:c>
      <x:c r="AA14" t="inlineStr">
        <x:is>
          <x:t xml:space="preserve">CN</x:t>
        </x:is>
      </x:c>
      <x:c r="AB14" s="3">
        <x:f>IF(OR(ISBLANK(H14),ISBLANK(J14)),"",ROUND(H14*J14,2))</x:f>
        <x:v>430.91</x:v>
      </x:c>
      <x:c r="AC14" s="5">
        <x:f>IF(OR(ISBLANK(I14),ISBLANK(AB14),AB14=0),"",(I14-AB14)/AB14)</x:f>
        <x:v>0</x:v>
      </x:c>
      <x:c r="AD14">
        <x:f>IF(OR(ISBLANK(Y14),ISBLANK(Z14)),"",IF(Z14&gt;Y14,"FEHLER: offen &gt; gesamt","OK"))</x:f>
      </x:c>
    </x:row>
    <x:row r="15">
      <x:c r="A15" t="inlineStr">
        <x:is>
          <x:t xml:space="preserve">P10014</x:t>
        </x:is>
      </x:c>
      <x:c r="B15" t="inlineStr">
        <x:is>
          <x:t xml:space="preserve">SKU-A3KX7EED</x:t>
        </x:is>
      </x:c>
      <x:c r="C15" t="inlineStr">
        <x:is>
          <x:t xml:space="preserve">MünsterWerk</x:t>
        </x:is>
      </x:c>
      <x:c r="D15" t="inlineStr">
        <x:is>
          <x:t xml:space="preserve">MünsterWerk Jeans 8 XL</x:t>
        </x:is>
      </x:c>
      <x:c r="E15" t="inlineStr">
        <x:is>
          <x:t xml:space="preserve">Bekleidung</x:t>
        </x:is>
      </x:c>
      <x:c r="F15" t="inlineStr">
        <x:is>
          <x:t xml:space="preserve">Herren</x:t>
        </x:is>
      </x:c>
      <x:c r="G15" t="inlineStr">
        <x:is>
          <x:t xml:space="preserve">MünsterWerk Jeans 8 XL aus der Kategorie Bekleidung/Herren. Farbe: blau. Material: Gummi. Gewicht: 1.4 kg.</x:t>
        </x:is>
      </x:c>
      <x:c r="H15" s="2" t="n">
        <x:v>814.13</x:v>
      </x:c>
      <x:c r="I15" s="3" t="n">
        <x:v>887.4</x:v>
      </x:c>
      <x:c r="J15" s="4" t="n">
        <x:v>1.09</x:v>
      </x:c>
      <x:c r="K15" s="5" t="n">
        <x:v>19</x:v>
      </x:c>
      <x:c r="L15" t="n">
        <x:v>1</x:v>
      </x:c>
      <x:c r="M15" s="4" t="n">
        <x:v>1.4</x:v>
      </x:c>
      <x:c r="N15" s="6" t="n">
        <x:v>20.9</x:v>
      </x:c>
      <x:c r="O15" s="6" t="n">
        <x:v>9.300000000000001</x:v>
      </x:c>
      <x:c r="P15" s="6" t="n">
        <x:v>14.5</x:v>
      </x:c>
      <x:c r="Q15" t="inlineStr">
        <x:is>
          <x:t xml:space="preserve">blau</x:t>
        </x:is>
      </x:c>
      <x:c r="R15" t="inlineStr">
        <x:is>
          <x:t xml:space="preserve">Gummi</x:t>
        </x:is>
      </x:c>
      <x:c r="S15" t="n">
        <x:v>0</x:v>
      </x:c>
      <x:c r="T15" t="inlineStr">
        <x:is>
          <x:t xml:space="preserve"/>
        </x:is>
      </x:c>
      <x:c r="U15" t="inlineStr">
        <x:is>
          <x:t xml:space="preserve"/>
        </x:is>
      </x:c>
      <x:c r="V15" t="inlineStr">
        <x:is>
          <x:t xml:space="preserve"/>
        </x:is>
      </x:c>
      <x:c r="W15" t="inlineStr">
        <x:is>
          <x:t xml:space="preserve"/>
        </x:is>
      </x:c>
      <x:c r="X15" t="inlineStr">
        <x:is>
          <x:t xml:space="preserve"/>
        </x:is>
      </x:c>
      <x:c r="Y15" t="inlineStr">
        <x:is>
          <x:t xml:space="preserve"/>
        </x:is>
      </x:c>
      <x:c r="Z15" t="inlineStr">
        <x:is>
          <x:t xml:space="preserve"/>
        </x:is>
      </x:c>
      <x:c r="AA15" t="inlineStr">
        <x:is>
          <x:t xml:space="preserve">CN</x:t>
        </x:is>
      </x:c>
      <x:c r="AB15" s="3">
        <x:f>IF(OR(ISBLANK(H15),ISBLANK(J15)),"",ROUND(H15*J15,2))</x:f>
        <x:v>887.4</x:v>
      </x:c>
      <x:c r="AC15" s="5">
        <x:f>IF(OR(ISBLANK(I15),ISBLANK(AB15),AB15=0),"",(I15-AB15)/AB15)</x:f>
        <x:v>0</x:v>
      </x:c>
      <x:c r="AD15">
        <x:f>IF(OR(ISBLANK(Y15),ISBLANK(Z15)),"",IF(Z15&gt;Y15,"FEHLER: offen &gt; gesamt","OK"))</x:f>
      </x:c>
    </x:row>
    <x:row r="16">
      <x:c r="A16" t="inlineStr">
        <x:is>
          <x:t xml:space="preserve">P10015</x:t>
        </x:is>
      </x:c>
      <x:c r="B16" t="inlineStr">
        <x:is>
          <x:t xml:space="preserve">SKU-A3KX7EED</x:t>
        </x:is>
      </x:c>
      <x:c r="C16" t="inlineStr">
        <x:is>
          <x:t xml:space="preserve">GartenZeit</x:t>
        </x:is>
      </x:c>
      <x:c r="D16" t="inlineStr">
        <x:is>
          <x:t xml:space="preserve">GartenZeit Regenjacke 7 Pro</x:t>
        </x:is>
      </x:c>
      <x:c r="E16" t="inlineStr">
        <x:is>
          <x:t xml:space="preserve">Bekleidung</x:t>
        </x:is>
      </x:c>
      <x:c r="F16" t="inlineStr">
        <x:is>
          <x:t xml:space="preserve">Kinder</x:t>
        </x:is>
      </x:c>
      <x:c r="G16" t="inlineStr">
        <x:is>
          <x:t xml:space="preserve">GartenZeit Regenjacke 7 Pro aus der Kategorie Bekleidung/Kinder. Farbe: beige. Material: Aluminium. Gewicht: 0.05 kg.</x:t>
        </x:is>
      </x:c>
      <x:c r="H16" s="2" t="n">
        <x:v>40</x:v>
      </x:c>
      <x:c r="I16" s="3" t="n">
        <x:v>43.6</x:v>
      </x:c>
      <x:c r="J16" s="4" t="n">
        <x:v>1.09</x:v>
      </x:c>
      <x:c r="K16" s="5" t="n">
        <x:v>19</x:v>
      </x:c>
      <x:c r="L16" t="n">
        <x:v>183</x:v>
      </x:c>
      <x:c r="M16" s="4" t="n">
        <x:v>0.05</x:v>
      </x:c>
      <x:c r="N16" s="6" t="n">
        <x:v>73.7</x:v>
      </x:c>
      <x:c r="O16" s="6" t="n">
        <x:v>24.2</x:v>
      </x:c>
      <x:c r="P16" s="6" t="n">
        <x:v>9.4</x:v>
      </x:c>
      <x:c r="Q16" t="inlineStr">
        <x:is>
          <x:t xml:space="preserve">beige</x:t>
        </x:is>
      </x:c>
      <x:c r="R16" t="inlineStr">
        <x:is>
          <x:t xml:space="preserve">Aluminium</x:t>
        </x:is>
      </x:c>
      <x:c r="S16" t="n">
        <x:v>0</x:v>
      </x:c>
      <x:c r="T16" t="inlineStr">
        <x:is>
          <x:t xml:space="preserve"/>
        </x:is>
      </x:c>
      <x:c r="U16" t="inlineStr">
        <x:is>
          <x:t xml:space="preserve"/>
        </x:is>
      </x:c>
      <x:c r="V16" t="inlineStr">
        <x:is>
          <x:t xml:space="preserve"/>
        </x:is>
      </x:c>
      <x:c r="W16" t="inlineStr">
        <x:is>
          <x:t xml:space="preserve">2026-03-02</x:t>
        </x:is>
      </x:c>
      <x:c r="X16" t="inlineStr">
        <x:is>
          <x:t xml:space="preserve"/>
        </x:is>
      </x:c>
      <x:c r="Y16" t="inlineStr">
        <x:is>
          <x:t xml:space="preserve"/>
        </x:is>
      </x:c>
      <x:c r="Z16" t="inlineStr">
        <x:is>
          <x:t xml:space="preserve"/>
        </x:is>
      </x:c>
      <x:c r="AA16" t="inlineStr">
        <x:is>
          <x:t xml:space="preserve">VN</x:t>
        </x:is>
      </x:c>
      <x:c r="AB16" s="3">
        <x:f>IF(OR(ISBLANK(H16),ISBLANK(J16)),"",ROUND(H16*J16,2))</x:f>
        <x:v>43.6</x:v>
      </x:c>
      <x:c r="AC16" s="5">
        <x:f>IF(OR(ISBLANK(I16),ISBLANK(AB16),AB16=0),"",(I16-AB16)/AB16)</x:f>
        <x:v>0</x:v>
      </x:c>
      <x:c r="AD16">
        <x:f>IF(OR(ISBLANK(Y16),ISBLANK(Z16)),"",IF(Z16&gt;Y16,"FEHLER: offen &gt; gesamt","OK"))</x:f>
      </x:c>
    </x:row>
    <x:row r="17">
      <x:c r="A17" t="inlineStr">
        <x:is>
          <x:t xml:space="preserve">P10016</x:t>
        </x:is>
      </x:c>
      <x:c r="B17" t="inlineStr">
        <x:is>
          <x:t xml:space="preserve">SKU-A3KX7EED</x:t>
        </x:is>
      </x:c>
      <x:c r="C17" t="inlineStr">
        <x:is>
          <x:t xml:space="preserve">Nordlicht</x:t>
        </x:is>
      </x:c>
      <x:c r="D17" t="inlineStr">
        <x:is>
          <x:t xml:space="preserve">Nordlicht Yogamatte 7 Pro</x:t>
        </x:is>
      </x:c>
      <x:c r="E17" t="inlineStr">
        <x:is>
          <x:t xml:space="preserve">Sport</x:t>
        </x:is>
      </x:c>
      <x:c r="F17" t="inlineStr">
        <x:is>
          <x:t xml:space="preserve">Fitness</x:t>
        </x:is>
      </x:c>
      <x:c r="G17" t="inlineStr">
        <x:is>
          <x:t xml:space="preserve">Nordlicht Yogamatte 7 Pro aus der Kategorie Sport/Fitness. Farbe: silber. Material: Holz. Gewicht: 1.289 kg.</x:t>
        </x:is>
      </x:c>
      <x:c r="H17" s="2" t="n">
        <x:v>241.69</x:v>
      </x:c>
      <x:c r="I17" s="3" t="n">
        <x:v>263.44</x:v>
      </x:c>
      <x:c r="J17" s="4" t="n">
        <x:v>1.09</x:v>
      </x:c>
      <x:c r="K17" s="5" t="n">
        <x:v>19</x:v>
      </x:c>
      <x:c r="L17" t="n">
        <x:v>113</x:v>
      </x:c>
      <x:c r="M17" s="4" t="n">
        <x:v>1.289</x:v>
      </x:c>
      <x:c r="N17" s="6" t="n">
        <x:v>18.4</x:v>
      </x:c>
      <x:c r="O17" s="6" t="n">
        <x:v>-5</x:v>
      </x:c>
      <x:c r="P17" s="6" t="n">
        <x:v>0.5</x:v>
      </x:c>
      <x:c r="Q17" t="inlineStr">
        <x:is>
          <x:t xml:space="preserve">silber</x:t>
        </x:is>
      </x:c>
      <x:c r="R17" t="inlineStr">
        <x:is>
          <x:t xml:space="preserve">Holz</x:t>
        </x:is>
      </x:c>
      <x:c r="S17" t="n">
        <x:v>0</x:v>
      </x:c>
      <x:c r="T17" t="inlineStr">
        <x:is>
          <x:t xml:space="preserve"/>
        </x:is>
      </x:c>
      <x:c r="U17" t="inlineStr">
        <x:is>
          <x:t xml:space="preserve"/>
        </x:is>
      </x:c>
      <x:c r="V17" t="inlineStr">
        <x:is>
          <x:t xml:space="preserve"/>
        </x:is>
      </x:c>
      <x:c r="W17" t="inlineStr">
        <x:is>
          <x:t xml:space="preserve"/>
        </x:is>
      </x:c>
      <x:c r="X17" t="inlineStr">
        <x:is>
          <x:t xml:space="preserve"/>
        </x:is>
      </x:c>
      <x:c r="Y17" t="inlineStr">
        <x:is>
          <x:t xml:space="preserve"/>
        </x:is>
      </x:c>
      <x:c r="Z17" t="inlineStr">
        <x:is>
          <x:t xml:space="preserve"/>
        </x:is>
      </x:c>
      <x:c r="AA17" t="inlineStr">
        <x:is>
          <x:t xml:space="preserve">TR</x:t>
        </x:is>
      </x:c>
      <x:c r="AB17" s="3">
        <x:f>IF(OR(ISBLANK(H17),ISBLANK(J17)),"",ROUND(H17*J17,2))</x:f>
        <x:v>263.44</x:v>
      </x:c>
      <x:c r="AC17" s="5">
        <x:f>IF(OR(ISBLANK(I17),ISBLANK(AB17),AB17=0),"",(I17-AB17)/AB17)</x:f>
        <x:v>0</x:v>
      </x:c>
      <x:c r="AD17">
        <x:f>IF(OR(ISBLANK(Y17),ISBLANK(Z17)),"",IF(Z17&gt;Y17,"FEHLER: offen &gt; gesamt","OK"))</x:f>
      </x:c>
    </x:row>
    <x:row r="18">
      <x:c r="A18" t="inlineStr">
        <x:is>
          <x:t xml:space="preserve">P10017</x:t>
        </x:is>
      </x:c>
      <x:c r="B18" t="inlineStr">
        <x:is>
          <x:t xml:space="preserve">SKU-P0LVSNUJ</x:t>
        </x:is>
      </x:c>
      <x:c r="C18" t="inlineStr">
        <x:is>
          <x:t xml:space="preserve">Berg &amp; Tal</x:t>
        </x:is>
      </x:c>
      <x:c r="D18" t="inlineStr">
        <x:is>
          <x:t xml:space="preserve">Berg &amp; Tal Shampoo 1</x:t>
        </x:is>
      </x:c>
      <x:c r="E18" t="inlineStr">
        <x:is>
          <x:t xml:space="preserve">Drogerie</x:t>
        </x:is>
      </x:c>
      <x:c r="F18" t="inlineStr">
        <x:is>
          <x:t xml:space="preserve">Körperpflege</x:t>
        </x:is>
      </x:c>
      <x:c r="G18" t="inlineStr">
        <x:is>
          <x:t xml:space="preserve">Berg &amp; Tal Shampoo 1 aus der Kategorie Drogerie/Körperpflege. Farbe: beige. Material: Holz. Gewicht: 1.126 kg.</x:t>
        </x:is>
      </x:c>
      <x:c r="H18" s="2" t="n">
        <x:v>788.76</x:v>
      </x:c>
      <x:c r="I18" s="3" t="n">
        <x:v>859.75</x:v>
      </x:c>
      <x:c r="J18" s="4" t="n">
        <x:v>1.09</x:v>
      </x:c>
      <x:c r="K18" s="5" t="n">
        <x:v>19</x:v>
      </x:c>
      <x:c r="L18" t="n">
        <x:v>305</x:v>
      </x:c>
      <x:c r="M18" s="4" t="n">
        <x:v>1.126</x:v>
      </x:c>
      <x:c r="N18" s="6" t="n">
        <x:v>62.9</x:v>
      </x:c>
      <x:c r="O18" s="6" t="n">
        <x:v>24.2</x:v>
      </x:c>
      <x:c r="P18" s="6" t="n">
        <x:v>9.699999999999999</x:v>
      </x:c>
      <x:c r="Q18" t="inlineStr">
        <x:is>
          <x:t xml:space="preserve">beige</x:t>
        </x:is>
      </x:c>
      <x:c r="R18" t="inlineStr">
        <x:is>
          <x:t xml:space="preserve">Holz</x:t>
        </x:is>
      </x:c>
      <x:c r="S18" t="n">
        <x:v>0</x:v>
      </x:c>
      <x:c r="T18" t="inlineStr">
        <x:is>
          <x:t xml:space="preserve"/>
        </x:is>
      </x:c>
      <x:c r="U18" t="inlineStr">
        <x:is>
          <x:t xml:space="preserve"/>
        </x:is>
      </x:c>
      <x:c r="V18" t="inlineStr">
        <x:is>
          <x:t xml:space="preserve"/>
        </x:is>
      </x:c>
      <x:c r="W18" t="inlineStr">
        <x:is>
          <x:t xml:space="preserve"/>
        </x:is>
      </x:c>
      <x:c r="X18" t="inlineStr">
        <x:is>
          <x:t xml:space="preserve"/>
        </x:is>
      </x:c>
      <x:c r="Y18" t="inlineStr">
        <x:is>
          <x:t xml:space="preserve"/>
        </x:is>
      </x:c>
      <x:c r="Z18" t="inlineStr">
        <x:is>
          <x:t xml:space="preserve"/>
        </x:is>
      </x:c>
      <x:c r="AA18" t="inlineStr">
        <x:is>
          <x:t xml:space="preserve">ES</x:t>
        </x:is>
      </x:c>
      <x:c r="AB18" s="3">
        <x:f>IF(OR(ISBLANK(H18),ISBLANK(J18)),"",ROUND(H18*J18,2))</x:f>
        <x:v>859.75</x:v>
      </x:c>
      <x:c r="AC18" s="5">
        <x:f>IF(OR(ISBLANK(I18),ISBLANK(AB18),AB18=0),"",(I18-AB18)/AB18)</x:f>
        <x:v>0</x:v>
      </x:c>
      <x:c r="AD18">
        <x:f>IF(OR(ISBLANK(Y18),ISBLANK(Z18)),"",IF(Z18&gt;Y18,"FEHLER: offen &gt; gesamt","OK"))</x:f>
      </x:c>
    </x:row>
    <x:row r="19">
      <x:c r="A19" t="inlineStr">
        <x:is>
          <x:t xml:space="preserve">P10018</x:t>
        </x:is>
      </x:c>
      <x:c r="B19" t="inlineStr">
        <x:is>
          <x:t xml:space="preserve">SKU-SYLZTGXN</x:t>
        </x:is>
      </x:c>
      <x:c r="C19" t="inlineStr">
        <x:is>
          <x:t xml:space="preserve">PolarGear</x:t>
        </x:is>
      </x:c>
      <x:c r="D19" t="inlineStr">
        <x:is>
          <x:t xml:space="preserve">PolarGear Joghurt 7</x:t>
        </x:is>
      </x:c>
      <x:c r="E19" t="inlineStr">
        <x:is>
          <x:t xml:space="preserve">Lebensmittel</x:t>
        </x:is>
      </x:c>
      <x:c r="F19" t="inlineStr">
        <x:is>
          <x:t xml:space="preserve">Frische</x:t>
        </x:is>
      </x:c>
      <x:c r="G19" t="inlineStr">
        <x:is>
          <x:t xml:space="preserve">PolarGear Joghurt 7 aus der Kategorie Lebensmittel/Frische. Farbe: rot. Material: Holz. Gewicht: 2.182 kg.</x:t>
        </x:is>
      </x:c>
      <x:c r="H19" s="2" t="n">
        <x:v>853.17</x:v>
      </x:c>
      <x:c r="I19" s="3" t="n">
        <x:v>929.96</x:v>
      </x:c>
      <x:c r="J19" s="4" t="n">
        <x:v>1.09</x:v>
      </x:c>
      <x:c r="K19" s="5" t="n">
        <x:v>7</x:v>
      </x:c>
      <x:c r="L19" t="n">
        <x:v>460</x:v>
      </x:c>
      <x:c r="M19" s="4" t="n">
        <x:v>2.182</x:v>
      </x:c>
      <x:c r="N19" s="6" t="n">
        <x:v>13.3</x:v>
      </x:c>
      <x:c r="O19" s="6" t="n">
        <x:v>16</x:v>
      </x:c>
      <x:c r="P19" s="6" t="n">
        <x:v>-5</x:v>
      </x:c>
      <x:c r="Q19" t="inlineStr">
        <x:is>
          <x:t xml:space="preserve">rot</x:t>
        </x:is>
      </x:c>
      <x:c r="R19" t="inlineStr">
        <x:is>
          <x:t xml:space="preserve">Holz</x:t>
        </x:is>
      </x:c>
      <x:c r="S19" t="n">
        <x:v>0</x:v>
      </x:c>
      <x:c r="T19" t="inlineStr">
        <x:is>
          <x:t xml:space="preserve"/>
        </x:is>
      </x:c>
      <x:c r="U19" t="inlineStr">
        <x:is>
          <x:t xml:space="preserve"/>
        </x:is>
      </x:c>
      <x:c r="V19" t="inlineStr">
        <x:is>
          <x:t xml:space="preserve"/>
        </x:is>
      </x:c>
      <x:c r="W19" t="inlineStr">
        <x:is>
          <x:t xml:space="preserve">2026-06-23</x:t>
        </x:is>
      </x:c>
      <x:c r="X19" t="inlineStr">
        <x:is>
          <x:t xml:space="preserve"/>
        </x:is>
      </x:c>
      <x:c r="Y19" t="inlineStr">
        <x:is>
          <x:t xml:space="preserve"/>
        </x:is>
      </x:c>
      <x:c r="Z19" t="inlineStr">
        <x:is>
          <x:t xml:space="preserve"/>
        </x:is>
      </x:c>
      <x:c r="AA19" t="inlineStr">
        <x:is>
          <x:t xml:space="preserve">CN</x:t>
        </x:is>
      </x:c>
      <x:c r="AB19" s="3">
        <x:f>IF(OR(ISBLANK(H19),ISBLANK(J19)),"",ROUND(H19*J19,2))</x:f>
        <x:v>929.96</x:v>
      </x:c>
      <x:c r="AC19" s="5">
        <x:f>IF(OR(ISBLANK(I19),ISBLANK(AB19),AB19=0),"",(I19-AB19)/AB19)</x:f>
        <x:v>0</x:v>
      </x:c>
      <x:c r="AD19">
        <x:f>IF(OR(ISBLANK(Y19),ISBLANK(Z19)),"",IF(Z19&gt;Y19,"FEHLER: offen &gt; gesamt","OK"))</x:f>
      </x:c>
    </x:row>
    <x:row r="20">
      <x:c r="A20" t="inlineStr">
        <x:is>
          <x:t xml:space="preserve">P10019</x:t>
        </x:is>
      </x:c>
      <x:c r="B20" t="inlineStr">
        <x:is>
          <x:t xml:space="preserve">SKU-DSWM31YI</x:t>
        </x:is>
      </x:c>
      <x:c r="C20" t="inlineStr">
        <x:is>
          <x:t xml:space="preserve">AlpenFit</x:t>
        </x:is>
      </x:c>
      <x:c r="D20" t="inlineStr">
        <x:is>
          <x:t xml:space="preserve">AlpenFit Bluetooth-Kopfhörer 7 XL</x:t>
        </x:is>
      </x:c>
      <x:c r="E20" t="inlineStr">
        <x:is>
          <x:t xml:space="preserve">Elektronik</x:t>
        </x:is>
      </x:c>
      <x:c r="F20" t="inlineStr">
        <x:is>
          <x:t xml:space="preserve">Audio</x:t>
        </x:is>
      </x:c>
      <x:c r="G20" t="inlineStr">
        <x:is>
          <x:t xml:space="preserve">AlpenFit Bluetooth-Kopfhörer 7 XL aus der Kategorie Elektronik/Audio. Farbe: blau. Material: Baumwolle. Gewicht: 0.681 kg.</x:t>
        </x:is>
      </x:c>
      <x:c r="H20" s="2" t="n">
        <x:v>419.36</x:v>
      </x:c>
      <x:c r="I20" s="3" t="n">
        <x:v>457.1</x:v>
      </x:c>
      <x:c r="J20" s="4" t="n">
        <x:v>1.09</x:v>
      </x:c>
      <x:c r="K20" s="5" t="n">
        <x:v>19</x:v>
      </x:c>
      <x:c r="L20" t="n">
        <x:v>407</x:v>
      </x:c>
      <x:c r="M20" s="4" t="n">
        <x:v>0.681</x:v>
      </x:c>
      <x:c r="N20" s="6" t="n">
        <x:v>36.2</x:v>
      </x:c>
      <x:c r="O20" s="6" t="n">
        <x:v>1</x:v>
      </x:c>
      <x:c r="P20" s="6" t="n">
        <x:v>14.3</x:v>
      </x:c>
      <x:c r="Q20" t="inlineStr">
        <x:is>
          <x:t xml:space="preserve">blau</x:t>
        </x:is>
      </x:c>
      <x:c r="R20" t="inlineStr">
        <x:is>
          <x:t xml:space="preserve">Baumwolle</x:t>
        </x:is>
      </x:c>
      <x:c r="S20" t="n">
        <x:v>24</x:v>
      </x:c>
      <x:c r="T20" t="inlineStr">
        <x:is>
          <x:t xml:space="preserve">F</x:t>
        </x:is>
      </x:c>
      <x:c r="U20" t="n">
        <x:v>700</x:v>
      </x:c>
      <x:c r="V20" t="n">
        <x:v>230</x:v>
      </x:c>
      <x:c r="W20" t="inlineStr">
        <x:is>
          <x:t xml:space="preserve"/>
        </x:is>
      </x:c>
      <x:c r="X20" t="inlineStr">
        <x:is>
          <x:t xml:space="preserve"/>
        </x:is>
      </x:c>
      <x:c r="Y20" t="inlineStr">
        <x:is>
          <x:t xml:space="preserve"/>
        </x:is>
      </x:c>
      <x:c r="Z20" t="inlineStr">
        <x:is>
          <x:t xml:space="preserve"/>
        </x:is>
      </x:c>
      <x:c r="AA20" t="inlineStr">
        <x:is>
          <x:t xml:space="preserve">VN</x:t>
        </x:is>
      </x:c>
      <x:c r="AB20" s="3">
        <x:f>IF(OR(ISBLANK(H20),ISBLANK(J20)),"",ROUND(H20*J20,2))</x:f>
        <x:v>457.1</x:v>
      </x:c>
      <x:c r="AC20" s="5">
        <x:f>IF(OR(ISBLANK(I20),ISBLANK(AB20),AB20=0),"",(I20-AB20)/AB20)</x:f>
        <x:v>0</x:v>
      </x:c>
      <x:c r="AD20">
        <x:f>IF(OR(ISBLANK(Y20),ISBLANK(Z20)),"",IF(Z20&gt;Y20,"FEHLER: offen &gt; gesamt","OK"))</x:f>
      </x:c>
    </x:row>
    <x:row r="21">
      <x:c r="A21" t="inlineStr">
        <x:is>
          <x:t xml:space="preserve">P10020</x:t>
        </x:is>
      </x:c>
      <x:c r="B21" t="inlineStr">
        <x:is>
          <x:t xml:space="preserve">SKU-2H2ZQU7E</x:t>
        </x:is>
      </x:c>
      <x:c r="C21" t="inlineStr">
        <x:is>
          <x:t xml:space="preserve">MünsterWerk</x:t>
        </x:is>
      </x:c>
      <x:c r="D21" t="inlineStr">
        <x:is>
          <x:t xml:space="preserve">MünsterWerk Notebook 2 Mini</x:t>
        </x:is>
      </x:c>
      <x:c r="E21" t="inlineStr">
        <x:is>
          <x:t xml:space="preserve">Elektronik</x:t>
        </x:is>
      </x:c>
      <x:c r="F21" t="inlineStr">
        <x:is>
          <x:t xml:space="preserve">Computer</x:t>
        </x:is>
      </x:c>
      <x:c r="G21" t="inlineStr">
        <x:is>
          <x:t xml:space="preserve">MünsterWerk Notebook 2 Mini aus der Kategorie Elektronik/Computer. Farbe: grau. Material: Leder. Gewicht: 0.839 kg.</x:t>
        </x:is>
      </x:c>
      <x:c r="H21" s="2" t="n"/>
      <x:c r="I21" s="3" t="n">
        <x:v>407.71</x:v>
      </x:c>
      <x:c r="J21" s="4" t="n">
        <x:v>1.09</x:v>
      </x:c>
      <x:c r="K21" s="5" t="n">
        <x:v>19</x:v>
      </x:c>
      <x:c r="L21" t="n">
        <x:v>124</x:v>
      </x:c>
      <x:c r="M21" s="4" t="n">
        <x:v>0.839</x:v>
      </x:c>
      <x:c r="N21" s="6" t="n">
        <x:v>18</x:v>
      </x:c>
      <x:c r="O21" s="6" t="n">
        <x:v>14.2</x:v>
      </x:c>
      <x:c r="P21" s="6" t="n">
        <x:v>0.5</x:v>
      </x:c>
      <x:c r="Q21" t="inlineStr">
        <x:is>
          <x:t xml:space="preserve">grau</x:t>
        </x:is>
      </x:c>
      <x:c r="R21" t="inlineStr">
        <x:is>
          <x:t xml:space="preserve">Leder</x:t>
        </x:is>
      </x:c>
      <x:c r="S21" t="n">
        <x:v>24</x:v>
      </x:c>
      <x:c r="T21" t="inlineStr">
        <x:is>
          <x:t xml:space="preserve">B</x:t>
        </x:is>
      </x:c>
      <x:c r="U21" t="n">
        <x:v>27</x:v>
      </x:c>
      <x:c r="V21" t="n">
        <x:v>12</x:v>
      </x:c>
      <x:c r="W21" t="inlineStr">
        <x:is>
          <x:t xml:space="preserve"/>
        </x:is>
      </x:c>
      <x:c r="X21" t="inlineStr">
        <x:is>
          <x:t xml:space="preserve"/>
        </x:is>
      </x:c>
      <x:c r="Y21" t="inlineStr">
        <x:is>
          <x:t xml:space="preserve"/>
        </x:is>
      </x:c>
      <x:c r="Z21" t="inlineStr">
        <x:is>
          <x:t xml:space="preserve"/>
        </x:is>
      </x:c>
      <x:c r="AA21" t="inlineStr">
        <x:is>
          <x:t xml:space="preserve">CN</x:t>
        </x:is>
      </x:c>
      <x:c r="AB21" s="3">
        <x:f>IF(OR(ISBLANK(H21),ISBLANK(J21)),"",ROUND(H21*J21,2))</x:f>
      </x:c>
      <x:c r="AC21" s="5">
        <x:f>IF(OR(ISBLANK(I21),ISBLANK(AB21),AB21=0),"",(I21-AB21)/AB21)</x:f>
      </x:c>
      <x:c r="AD21">
        <x:f>IF(OR(ISBLANK(Y21),ISBLANK(Z21)),"",IF(Z21&gt;Y21,"FEHLER: offen &gt; gesamt","OK"))</x:f>
      </x:c>
    </x:row>
    <x:row r="22">
      <x:c r="A22" t="inlineStr">
        <x:is>
          <x:t xml:space="preserve">P10021</x:t>
        </x:is>
      </x:c>
      <x:c r="B22" t="inlineStr">
        <x:is>
          <x:t xml:space="preserve">SKU-RIPZIM6C</x:t>
        </x:is>
      </x:c>
      <x:c r="C22" t="inlineStr">
        <x:is>
          <x:t xml:space="preserve">UrbanLine</x:t>
        </x:is>
      </x:c>
      <x:c r="D22" t="inlineStr">
        <x:is>
          <x:t xml:space="preserve">UrbanLine Bohrmaschine 9 Mini</x:t>
        </x:is>
      </x:c>
      <x:c r="E22" t="inlineStr">
        <x:is>
          <x:t xml:space="preserve">Baumarkt</x:t>
        </x:is>
      </x:c>
      <x:c r="F22" t="inlineStr">
        <x:is>
          <x:t xml:space="preserve">Werkzeug</x:t>
        </x:is>
      </x:c>
      <x:c r="G22" t="inlineStr">
        <x:is>
          <x:t xml:space="preserve">UrbanLine Bohrmaschine 9 Mini aus der Kategorie Baumarkt/Werkzeug. Farbe: beige. Material: Glas. Gewicht: 1.164 kg.</x:t>
        </x:is>
      </x:c>
      <x:c r="H22" s="2" t="n">
        <x:v>806.85</x:v>
      </x:c>
      <x:c r="I22" s="3" t="n">
        <x:v>879.47</x:v>
      </x:c>
      <x:c r="J22" s="4" t="n">
        <x:v>1.09</x:v>
      </x:c>
      <x:c r="K22" s="5" t="n">
        <x:v>19</x:v>
      </x:c>
      <x:c r="L22" t="n">
        <x:v>326</x:v>
      </x:c>
      <x:c r="M22" s="4" t="n">
        <x:v>1.164</x:v>
      </x:c>
      <x:c r="N22" s="6" t="n">
        <x:v>1.7</x:v>
      </x:c>
      <x:c r="O22" s="6" t="n">
        <x:v>19.3</x:v>
      </x:c>
      <x:c r="P22" s="6" t="n">
        <x:v>19</x:v>
      </x:c>
      <x:c r="Q22" t="inlineStr">
        <x:is>
          <x:t xml:space="preserve">beige</x:t>
        </x:is>
      </x:c>
      <x:c r="R22" t="inlineStr">
        <x:is>
          <x:t xml:space="preserve">Glas</x:t>
        </x:is>
      </x:c>
      <x:c r="S22" t="n">
        <x:v>24</x:v>
      </x:c>
      <x:c r="T22" t="inlineStr">
        <x:is>
          <x:t xml:space="preserve"/>
        </x:is>
      </x:c>
      <x:c r="U22" t="n">
        <x:v>1140</x:v>
      </x:c>
      <x:c r="V22" t="n">
        <x:v>230</x:v>
      </x:c>
      <x:c r="W22" t="inlineStr">
        <x:is>
          <x:t xml:space="preserve"/>
        </x:is>
      </x:c>
      <x:c r="X22" t="inlineStr">
        <x:is>
          <x:t xml:space="preserve"/>
        </x:is>
      </x:c>
      <x:c r="Y22" t="inlineStr">
        <x:is>
          <x:t xml:space="preserve"/>
        </x:is>
      </x:c>
      <x:c r="Z22" t="inlineStr">
        <x:is>
          <x:t xml:space="preserve"/>
        </x:is>
      </x:c>
      <x:c r="AA22" t="inlineStr">
        <x:is>
          <x:t xml:space="preserve">CN</x:t>
        </x:is>
      </x:c>
      <x:c r="AB22" s="3">
        <x:f>IF(OR(ISBLANK(H22),ISBLANK(J22)),"",ROUND(H22*J22,2))</x:f>
        <x:v>879.47</x:v>
      </x:c>
      <x:c r="AC22" s="5">
        <x:f>IF(OR(ISBLANK(I22),ISBLANK(AB22),AB22=0),"",(I22-AB22)/AB22)</x:f>
        <x:v>0</x:v>
      </x:c>
      <x:c r="AD22">
        <x:f>IF(OR(ISBLANK(Y22),ISBLANK(Z22)),"",IF(Z22&gt;Y22,"FEHLER: offen &gt; gesamt","OK"))</x:f>
      </x:c>
    </x:row>
    <x:row r="23">
      <x:c r="A23" t="inlineStr">
        <x:is>
          <x:t xml:space="preserve">P10022</x:t>
        </x:is>
      </x:c>
      <x:c r="B23" t="inlineStr">
        <x:is>
          <x:t xml:space="preserve">SKU-8A5UR7KO</x:t>
        </x:is>
      </x:c>
      <x:c r="C23" t="inlineStr">
        <x:is>
          <x:t xml:space="preserve">UrbanLine</x:t>
        </x:is>
      </x:c>
      <x:c r="D23" t="inlineStr">
        <x:is>
          <x:t xml:space="preserve">UrbanLine Staubsaugerbeutel 7 Mini</x:t>
        </x:is>
      </x:c>
      <x:c r="F23" t="inlineStr">
        <x:is>
          <x:t xml:space="preserve">Reinigung</x:t>
        </x:is>
      </x:c>
      <x:c r="G23" t="inlineStr">
        <x:is>
          <x:t xml:space="preserve">UrbanLine Staubsaugerbeutel 7 Mini aus der Kategorie Haushalt/Reinigung. Farbe: rot. Material: Edelstahl. Gewicht: 0.92 kg.</x:t>
        </x:is>
      </x:c>
      <x:c r="H23" s="2" t="n">
        <x:v>299.14</x:v>
      </x:c>
      <x:c r="I23" s="3" t="n">
        <x:v>326.06</x:v>
      </x:c>
      <x:c r="J23" s="4" t="n">
        <x:v>1.09</x:v>
      </x:c>
      <x:c r="K23" s="5" t="n">
        <x:v>19</x:v>
      </x:c>
      <x:c r="L23" t="n">
        <x:v>394</x:v>
      </x:c>
      <x:c r="M23" s="4" t="n">
        <x:v>0.92</x:v>
      </x:c>
      <x:c r="N23" s="6" t="n">
        <x:v>31.9</x:v>
      </x:c>
      <x:c r="O23" s="6" t="n">
        <x:v>27.4</x:v>
      </x:c>
      <x:c r="P23" s="6" t="n">
        <x:v>0.5</x:v>
      </x:c>
      <x:c r="Q23" t="inlineStr">
        <x:is>
          <x:t xml:space="preserve">rot</x:t>
        </x:is>
      </x:c>
      <x:c r="R23" t="inlineStr">
        <x:is>
          <x:t xml:space="preserve">Edelstahl</x:t>
        </x:is>
      </x:c>
      <x:c r="S23" t="n">
        <x:v>24</x:v>
      </x:c>
      <x:c r="T23" t="inlineStr">
        <x:is>
          <x:t xml:space="preserve">E</x:t>
        </x:is>
      </x:c>
      <x:c r="U23" t="inlineStr">
        <x:is>
          <x:t xml:space="preserve"/>
        </x:is>
      </x:c>
      <x:c r="V23" t="inlineStr">
        <x:is>
          <x:t xml:space="preserve"/>
        </x:is>
      </x:c>
      <x:c r="W23" t="inlineStr">
        <x:is>
          <x:t xml:space="preserve"/>
        </x:is>
      </x:c>
      <x:c r="X23" t="inlineStr">
        <x:is>
          <x:t xml:space="preserve"/>
        </x:is>
      </x:c>
      <x:c r="Y23" t="inlineStr">
        <x:is>
          <x:t xml:space="preserve"/>
        </x:is>
      </x:c>
      <x:c r="Z23" t="inlineStr">
        <x:is>
          <x:t xml:space="preserve"/>
        </x:is>
      </x:c>
      <x:c r="AA23" t="inlineStr">
        <x:is>
          <x:t xml:space="preserve">ES</x:t>
        </x:is>
      </x:c>
      <x:c r="AB23" s="3">
        <x:f>IF(OR(ISBLANK(H23),ISBLANK(J23)),"",ROUND(H23*J23,2))</x:f>
        <x:v>326.06</x:v>
      </x:c>
      <x:c r="AC23" s="5">
        <x:f>IF(OR(ISBLANK(I23),ISBLANK(AB23),AB23=0),"",(I23-AB23)/AB23)</x:f>
        <x:v>0</x:v>
      </x:c>
      <x:c r="AD23">
        <x:f>IF(OR(ISBLANK(Y23),ISBLANK(Z23)),"",IF(Z23&gt;Y23,"FEHLER: offen &gt; gesamt","OK"))</x:f>
      </x:c>
    </x:row>
    <x:row r="24">
      <x:c r="A24" t="inlineStr">
        <x:is>
          <x:t xml:space="preserve">P10023</x:t>
        </x:is>
      </x:c>
      <x:c r="B24" t="inlineStr">
        <x:is>
          <x:t xml:space="preserve">SKU-EWAOUAXE</x:t>
        </x:is>
      </x:c>
      <x:c r="C24" t="inlineStr">
        <x:is>
          <x:t xml:space="preserve">MünsterWerk</x:t>
        </x:is>
      </x:c>
      <x:c r="D24" t="inlineStr">
        <x:is>
          <x:t xml:space="preserve">MünsterWerk Puzzle 8</x:t>
        </x:is>
      </x:c>
      <x:c r="E24" t="inlineStr">
        <x:is>
          <x:t xml:space="preserve">Spielwaren</x:t>
        </x:is>
      </x:c>
      <x:c r="F24" t="inlineStr">
        <x:is>
          <x:t xml:space="preserve">4-8</x:t>
        </x:is>
      </x:c>
      <x:c r="G24" t="inlineStr">
        <x:is>
          <x:t xml:space="preserve">MünsterWerk Puzzle 8 aus der Kategorie Spielwaren/4-8. Farbe: blau. Material: Glas. Gewicht: 0.502 kg.</x:t>
        </x:is>
      </x:c>
      <x:c r="H24" s="2" t="n">
        <x:v>351.11</x:v>
      </x:c>
      <x:c r="I24" s="3" t="n">
        <x:v>382.71</x:v>
      </x:c>
      <x:c r="J24" s="4" t="n">
        <x:v>1.09</x:v>
      </x:c>
      <x:c r="K24" s="5" t="n">
        <x:v>19</x:v>
      </x:c>
      <x:c r="L24" t="n">
        <x:v>470</x:v>
      </x:c>
      <x:c r="M24" s="4" t="n">
        <x:v>0.502</x:v>
      </x:c>
      <x:c r="N24" s="6" t="n">
        <x:v>1</x:v>
      </x:c>
      <x:c r="O24" s="6" t="n">
        <x:v>15.4</x:v>
      </x:c>
      <x:c r="P24" s="6" t="n">
        <x:v>0.5</x:v>
      </x:c>
      <x:c r="Q24" t="inlineStr">
        <x:is>
          <x:t xml:space="preserve">blau</x:t>
        </x:is>
      </x:c>
      <x:c r="R24" t="inlineStr">
        <x:is>
          <x:t xml:space="preserve">Glas</x:t>
        </x:is>
      </x:c>
      <x:c r="S24" t="n">
        <x:v>0</x:v>
      </x:c>
      <x:c r="T24" t="inlineStr">
        <x:is>
          <x:t xml:space="preserve"/>
        </x:is>
      </x:c>
      <x:c r="U24" t="inlineStr">
        <x:is>
          <x:t xml:space="preserve"/>
        </x:is>
      </x:c>
      <x:c r="V24" t="inlineStr">
        <x:is>
          <x:t xml:space="preserve"/>
        </x:is>
      </x:c>
      <x:c r="W24" t="inlineStr">
        <x:is>
          <x:t xml:space="preserve"/>
        </x:is>
      </x:c>
      <x:c r="X24" t="inlineStr">
        <x:is>
          <x:t xml:space="preserve">4+</x:t>
        </x:is>
      </x:c>
      <x:c r="Y24" t="inlineStr">
        <x:is>
          <x:t xml:space="preserve"/>
        </x:is>
      </x:c>
      <x:c r="Z24" t="inlineStr">
        <x:is>
          <x:t xml:space="preserve"/>
        </x:is>
      </x:c>
      <x:c r="AA24" t="inlineStr">
        <x:is>
          <x:t xml:space="preserve">NL</x:t>
        </x:is>
      </x:c>
      <x:c r="AB24" s="3">
        <x:f>IF(OR(ISBLANK(H24),ISBLANK(J24)),"",ROUND(H24*J24,2))</x:f>
        <x:v>382.71</x:v>
      </x:c>
      <x:c r="AC24" s="5">
        <x:f>IF(OR(ISBLANK(I24),ISBLANK(AB24),AB24=0),"",(I24-AB24)/AB24)</x:f>
        <x:v>0</x:v>
      </x:c>
      <x:c r="AD24">
        <x:f>IF(OR(ISBLANK(Y24),ISBLANK(Z24)),"",IF(Z24&gt;Y24,"FEHLER: offen &gt; gesamt","OK"))</x:f>
      </x:c>
    </x:row>
    <x:row r="25">
      <x:c r="A25" t="inlineStr">
        <x:is>
          <x:t xml:space="preserve">P10024</x:t>
        </x:is>
      </x:c>
      <x:c r="B25" t="inlineStr">
        <x:is>
          <x:t xml:space="preserve">SKU-CAT9MX2X</x:t>
        </x:is>
      </x:c>
      <x:c r="C25" t="inlineStr">
        <x:is>
          <x:t xml:space="preserve">Berg &amp; Tal</x:t>
        </x:is>
      </x:c>
      <x:c r="D25" t="inlineStr">
        <x:is>
          <x:t xml:space="preserve">Berg &amp; Tal Zimmerpflanze 8 XL</x:t>
        </x:is>
      </x:c>
      <x:c r="E25" t="inlineStr">
        <x:is>
          <x:t xml:space="preserve">Garten</x:t>
        </x:is>
      </x:c>
      <x:c r="F25" t="inlineStr">
        <x:is>
          <x:t xml:space="preserve">Pflanzen</x:t>
        </x:is>
      </x:c>
      <x:c r="G25" t="inlineStr">
        <x:is>
          <x:t xml:space="preserve">Berg &amp; Tal Zimmerpflanze 8 XL aus der Kategorie Garten/Pflanzen. Farbe: grün. Material: Baumwolle. Gewicht: 1.67 kg.</x:t>
        </x:is>
      </x:c>
      <x:c r="H25" s="2" t="n">
        <x:v>305.07</x:v>
      </x:c>
      <x:c r="I25" s="3" t="n">
        <x:v>332.53</x:v>
      </x:c>
      <x:c r="J25" s="4" t="n">
        <x:v>1.09</x:v>
      </x:c>
      <x:c r="K25" s="5" t="n">
        <x:v>19</x:v>
      </x:c>
      <x:c r="L25" t="n">
        <x:v>427</x:v>
      </x:c>
      <x:c r="M25" s="4" t="n">
        <x:v>1.67</x:v>
      </x:c>
      <x:c r="N25" s="6" t="n">
        <x:v>16.1</x:v>
      </x:c>
      <x:c r="O25" s="6" t="n">
        <x:v>35</x:v>
      </x:c>
      <x:c r="P25" s="6" t="n">
        <x:v>6.2</x:v>
      </x:c>
      <x:c r="Q25" t="inlineStr">
        <x:is>
          <x:t xml:space="preserve">grün</x:t>
        </x:is>
      </x:c>
      <x:c r="R25" t="inlineStr">
        <x:is>
          <x:t xml:space="preserve">Baumwolle</x:t>
        </x:is>
      </x:c>
      <x:c r="S25" t="n">
        <x:v>0</x:v>
      </x:c>
      <x:c r="T25" t="inlineStr">
        <x:is>
          <x:t xml:space="preserve">A</x:t>
        </x:is>
      </x:c>
      <x:c r="U25" t="inlineStr">
        <x:is>
          <x:t xml:space="preserve"/>
        </x:is>
      </x:c>
      <x:c r="V25" t="inlineStr">
        <x:is>
          <x:t xml:space="preserve"/>
        </x:is>
      </x:c>
      <x:c r="W25" t="inlineStr">
        <x:is>
          <x:t xml:space="preserve">2026-03-02</x:t>
        </x:is>
      </x:c>
      <x:c r="X25" t="inlineStr">
        <x:is>
          <x:t xml:space="preserve"/>
        </x:is>
      </x:c>
      <x:c r="Y25" t="inlineStr">
        <x:is>
          <x:t xml:space="preserve"/>
        </x:is>
      </x:c>
      <x:c r="Z25" t="inlineStr">
        <x:is>
          <x:t xml:space="preserve"/>
        </x:is>
      </x:c>
      <x:c r="AA25" t="inlineStr">
        <x:is>
          <x:t xml:space="preserve">DE</x:t>
        </x:is>
      </x:c>
      <x:c r="AB25" s="3">
        <x:f>IF(OR(ISBLANK(H25),ISBLANK(J25)),"",ROUND(H25*J25,2))</x:f>
        <x:v>332.53</x:v>
      </x:c>
      <x:c r="AC25" s="5">
        <x:f>IF(OR(ISBLANK(I25),ISBLANK(AB25),AB25=0),"",(I25-AB25)/AB25)</x:f>
        <x:v>0</x:v>
      </x:c>
      <x:c r="AD25">
        <x:f>IF(OR(ISBLANK(Y25),ISBLANK(Z25)),"",IF(Z25&gt;Y25,"FEHLER: offen &gt; gesamt","OK"))</x:f>
      </x:c>
    </x:row>
    <x:row r="26">
      <x:c r="A26" t="inlineStr">
        <x:is>
          <x:t xml:space="preserve">P10025</x:t>
        </x:is>
      </x:c>
      <x:c r="B26" t="inlineStr">
        <x:is>
          <x:t xml:space="preserve">SKU-38DALY8O</x:t>
        </x:is>
      </x:c>
      <x:c r="C26" t="inlineStr">
        <x:is>
          <x:t xml:space="preserve">KinderWelt</x:t>
        </x:is>
      </x:c>
      <x:c r="D26" t="inlineStr">
        <x:is>
          <x:t xml:space="preserve">KinderWelt Staubsaugerbeutel 4 Mini</x:t>
        </x:is>
      </x:c>
      <x:c r="E26" t="inlineStr">
        <x:is>
          <x:t xml:space="preserve">Haushalt</x:t>
        </x:is>
      </x:c>
      <x:c r="F26" t="inlineStr">
        <x:is>
          <x:t xml:space="preserve">Reinigung</x:t>
        </x:is>
      </x:c>
      <x:c r="G26" t="inlineStr">
        <x:is>
          <x:t xml:space="preserve">KinderWelt Staubsaugerbeutel 4 Mini aus der Kategorie Haushalt/Reinigung. Farbe: weiß. Material: Leder. Gewicht: 1.251 kg.</x:t>
        </x:is>
      </x:c>
      <x:c r="H26" s="2" t="n">
        <x:v>629.5700000000001</x:v>
      </x:c>
      <x:c r="I26" s="3" t="n">
        <x:v>686.23</x:v>
      </x:c>
      <x:c r="J26" s="4" t="n">
        <x:v>1.09</x:v>
      </x:c>
      <x:c r="K26" s="5" t="n">
        <x:v>19</x:v>
      </x:c>
      <x:c r="L26" t="n">
        <x:v>58</x:v>
      </x:c>
      <x:c r="M26" s="4" t="n">
        <x:v>1.251</x:v>
      </x:c>
      <x:c r="N26" s="6" t="n">
        <x:v>14.9</x:v>
      </x:c>
      <x:c r="O26" s="6" t="n">
        <x:v>1</x:v>
      </x:c>
      <x:c r="P26" s="6" t="n">
        <x:v>0.5</x:v>
      </x:c>
      <x:c r="Q26" t="inlineStr">
        <x:is>
          <x:t xml:space="preserve">weiß</x:t>
        </x:is>
      </x:c>
      <x:c r="R26" t="inlineStr">
        <x:is>
          <x:t xml:space="preserve">Leder</x:t>
        </x:is>
      </x:c>
      <x:c r="S26" t="n">
        <x:v>24</x:v>
      </x:c>
      <x:c r="T26" t="inlineStr">
        <x:is>
          <x:t xml:space="preserve">G</x:t>
        </x:is>
      </x:c>
      <x:c r="U26" t="inlineStr">
        <x:is>
          <x:t xml:space="preserve"/>
        </x:is>
      </x:c>
      <x:c r="V26" t="inlineStr">
        <x:is>
          <x:t xml:space="preserve"/>
        </x:is>
      </x:c>
      <x:c r="W26" t="inlineStr">
        <x:is>
          <x:t xml:space="preserve"/>
        </x:is>
      </x:c>
      <x:c r="X26" t="inlineStr">
        <x:is>
          <x:t xml:space="preserve"/>
        </x:is>
      </x:c>
      <x:c r="Y26" t="inlineStr">
        <x:is>
          <x:t xml:space="preserve"/>
        </x:is>
      </x:c>
      <x:c r="Z26" t="inlineStr">
        <x:is>
          <x:t xml:space="preserve"/>
        </x:is>
      </x:c>
      <x:c r="AA26" t="inlineStr">
        <x:is>
          <x:t xml:space="preserve">VN</x:t>
        </x:is>
      </x:c>
      <x:c r="AB26" s="3">
        <x:f>IF(OR(ISBLANK(H26),ISBLANK(J26)),"",ROUND(H26*J26,2))</x:f>
        <x:v>686.23</x:v>
      </x:c>
      <x:c r="AC26" s="5">
        <x:f>IF(OR(ISBLANK(I26),ISBLANK(AB26),AB26=0),"",(I26-AB26)/AB26)</x:f>
        <x:v>0</x:v>
      </x:c>
      <x:c r="AD26">
        <x:f>IF(OR(ISBLANK(Y26),ISBLANK(Z26)),"",IF(Z26&gt;Y26,"FEHLER: offen &gt; gesamt","OK"))</x:f>
      </x:c>
    </x:row>
    <x:row r="27">
      <x:c r="A27" t="inlineStr">
        <x:is>
          <x:t xml:space="preserve">P10026</x:t>
        </x:is>
      </x:c>
      <x:c r="B27" t="inlineStr">
        <x:is>
          <x:t xml:space="preserve">SKU-PRPN6QFG</x:t>
        </x:is>
      </x:c>
      <x:c r="C27" t="inlineStr">
        <x:is>
          <x:t xml:space="preserve">MünsterWerk</x:t>
        </x:is>
      </x:c>
      <x:c r="D27" t="inlineStr">
        <x:is>
          <x:t xml:space="preserve">MünsterWerk Schraubenset 2</x:t>
        </x:is>
      </x:c>
      <x:c r="E27" t="inlineStr">
        <x:is>
          <x:t xml:space="preserve">Baumarkt</x:t>
        </x:is>
      </x:c>
      <x:c r="F27" t="inlineStr">
        <x:is>
          <x:t xml:space="preserve">Schrauben &amp; Nägel</x:t>
        </x:is>
      </x:c>
      <x:c r="G27" t="inlineStr">
        <x:is>
          <x:t xml:space="preserve">MünsterWerk Schraubenset 2 aus der Kategorie Baumarkt/Schrauben &amp; Nägel. Farbe: weiß. Material: Polyester. Gewicht: 0.507 kg.</x:t>
        </x:is>
      </x:c>
      <x:c r="H27" s="2" t="n">
        <x:v>313.77</x:v>
      </x:c>
      <x:c r="I27" s="3" t="n">
        <x:v>342.01</x:v>
      </x:c>
      <x:c r="J27" s="4" t="n">
        <x:v>1.09</x:v>
      </x:c>
      <x:c r="K27" s="5" t="n">
        <x:v>19</x:v>
      </x:c>
      <x:c r="L27" t="n">
        <x:v>434</x:v>
      </x:c>
      <x:c r="M27" s="4" t="n">
        <x:v>0.507</x:v>
      </x:c>
      <x:c r="N27" s="6" t="n">
        <x:v>40.5</x:v>
      </x:c>
      <x:c r="O27" s="6" t="n">
        <x:v>6.3</x:v>
      </x:c>
      <x:c r="P27" s="6" t="n">
        <x:v>9.6</x:v>
      </x:c>
      <x:c r="Q27" t="inlineStr">
        <x:is>
          <x:t xml:space="preserve">weiß</x:t>
        </x:is>
      </x:c>
      <x:c r="R27" t="inlineStr">
        <x:is>
          <x:t xml:space="preserve">Polyester</x:t>
        </x:is>
      </x:c>
      <x:c r="S27" t="n">
        <x:v>24</x:v>
      </x:c>
      <x:c r="T27" t="inlineStr">
        <x:is>
          <x:t xml:space="preserve">B</x:t>
        </x:is>
      </x:c>
      <x:c r="U27" t="inlineStr">
        <x:is>
          <x:t xml:space="preserve"/>
        </x:is>
      </x:c>
      <x:c r="V27" t="inlineStr">
        <x:is>
          <x:t xml:space="preserve"/>
        </x:is>
      </x:c>
      <x:c r="W27" t="inlineStr">
        <x:is>
          <x:t xml:space="preserve"/>
        </x:is>
      </x:c>
      <x:c r="X27" t="inlineStr">
        <x:is>
          <x:t xml:space="preserve"/>
        </x:is>
      </x:c>
      <x:c r="Y27" t="inlineStr">
        <x:is>
          <x:t xml:space="preserve"/>
        </x:is>
      </x:c>
      <x:c r="Z27" t="inlineStr">
        <x:is>
          <x:t xml:space="preserve"/>
        </x:is>
      </x:c>
      <x:c r="AA27" t="inlineStr">
        <x:is>
          <x:t xml:space="preserve">TR</x:t>
        </x:is>
      </x:c>
      <x:c r="AB27" s="3">
        <x:f>IF(OR(ISBLANK(H27),ISBLANK(J27)),"",ROUND(H27*J27,2))</x:f>
        <x:v>342.01</x:v>
      </x:c>
      <x:c r="AC27" s="5">
        <x:f>IF(OR(ISBLANK(I27),ISBLANK(AB27),AB27=0),"",(I27-AB27)/AB27)</x:f>
        <x:v>0</x:v>
      </x:c>
      <x:c r="AD27">
        <x:f>IF(OR(ISBLANK(Y27),ISBLANK(Z27)),"",IF(Z27&gt;Y27,"FEHLER: offen &gt; gesamt","OK"))</x:f>
      </x:c>
    </x:row>
    <x:row r="28">
      <x:c r="A28" t="inlineStr">
        <x:is>
          <x:t xml:space="preserve">P10027</x:t>
        </x:is>
      </x:c>
      <x:c r="B28" t="inlineStr">
        <x:is>
          <x:t xml:space="preserve">SKU-YMRLRMJK</x:t>
        </x:is>
      </x:c>
      <x:c r="C28" t="inlineStr">
        <x:is>
          <x:t xml:space="preserve">Berg &amp; Tal</x:t>
        </x:is>
      </x:c>
      <x:c r="D28" t="inlineStr">
        <x:is>
          <x:t xml:space="preserve">Berg &amp; Tal Holzbausteine 6 Pro</x:t>
        </x:is>
      </x:c>
      <x:c r="E28" t="inlineStr">
        <x:is>
          <x:t xml:space="preserve">Spielwaren</x:t>
        </x:is>
      </x:c>
      <x:c r="F28" t="inlineStr">
        <x:is>
          <x:t xml:space="preserve">0-3</x:t>
        </x:is>
      </x:c>
      <x:c r="G28" t="inlineStr">
        <x:is>
          <x:t xml:space="preserve">Berg &amp; Tal Holzbausteine 6 Pro aus der Kategorie Spielwaren/0-3. Farbe: pink. Material: Polyester. Gewicht: 2.614 kg.</x:t>
        </x:is>
      </x:c>
      <x:c r="H28" s="2" t="n">
        <x:v>747.25</x:v>
      </x:c>
      <x:c r="I28" s="3" t="n">
        <x:v>814.5</x:v>
      </x:c>
      <x:c r="J28" s="4" t="n">
        <x:v>1.09</x:v>
      </x:c>
      <x:c r="K28" s="5" t="n">
        <x:v>19</x:v>
      </x:c>
      <x:c r="L28" t="n">
        <x:v>312</x:v>
      </x:c>
      <x:c r="M28" s="4" t="n">
        <x:v>2.614</x:v>
      </x:c>
      <x:c r="N28" s="6" t="n">
        <x:v>56.8</x:v>
      </x:c>
      <x:c r="O28" s="6" t="n">
        <x:v>20.6</x:v>
      </x:c>
      <x:c r="P28" s="6" t="n">
        <x:v>23.4</x:v>
      </x:c>
      <x:c r="Q28" t="inlineStr">
        <x:is>
          <x:t xml:space="preserve">pink</x:t>
        </x:is>
      </x:c>
      <x:c r="R28" t="inlineStr">
        <x:is>
          <x:t xml:space="preserve">Polyester</x:t>
        </x:is>
      </x:c>
      <x:c r="S28" t="n">
        <x:v>0</x:v>
      </x:c>
      <x:c r="T28" t="inlineStr">
        <x:is>
          <x:t xml:space="preserve">A</x:t>
        </x:is>
      </x:c>
      <x:c r="U28" t="inlineStr">
        <x:is>
          <x:t xml:space="preserve"/>
        </x:is>
      </x:c>
      <x:c r="V28" t="inlineStr">
        <x:is>
          <x:t xml:space="preserve"/>
        </x:is>
      </x:c>
      <x:c r="W28" t="inlineStr">
        <x:is>
          <x:t xml:space="preserve"/>
        </x:is>
      </x:c>
      <x:c r="X28" t="inlineStr">
        <x:is>
          <x:t xml:space="preserve">0+</x:t>
        </x:is>
      </x:c>
      <x:c r="Y28" t="inlineStr">
        <x:is>
          <x:t xml:space="preserve"/>
        </x:is>
      </x:c>
      <x:c r="Z28" t="inlineStr">
        <x:is>
          <x:t xml:space="preserve"/>
        </x:is>
      </x:c>
      <x:c r="AA28" t="inlineStr">
        <x:is>
          <x:t xml:space="preserve">TR</x:t>
        </x:is>
      </x:c>
      <x:c r="AB28" s="3">
        <x:f>IF(OR(ISBLANK(H28),ISBLANK(J28)),"",ROUND(H28*J28,2))</x:f>
        <x:v>814.5</x:v>
      </x:c>
      <x:c r="AC28" s="5">
        <x:f>IF(OR(ISBLANK(I28),ISBLANK(AB28),AB28=0),"",(I28-AB28)/AB28)</x:f>
        <x:v>0</x:v>
      </x:c>
      <x:c r="AD28">
        <x:f>IF(OR(ISBLANK(Y28),ISBLANK(Z28)),"",IF(Z28&gt;Y28,"FEHLER: offen &gt; gesamt","OK"))</x:f>
      </x:c>
    </x:row>
    <x:row r="29">
      <x:c r="A29" t="inlineStr">
        <x:is>
          <x:t xml:space="preserve">P10028</x:t>
        </x:is>
      </x:c>
      <x:c r="B29" t="inlineStr">
        <x:is>
          <x:t xml:space="preserve">SKU-XNTM9TMQ</x:t>
        </x:is>
      </x:c>
      <x:c r="C29" t="inlineStr">
        <x:is>
          <x:t xml:space="preserve">MünsterWerk</x:t>
        </x:is>
      </x:c>
      <x:c r="D29" t="inlineStr">
        <x:is>
          <x:t xml:space="preserve">MünsterWerk Kaffeemaschine 9 Pro</x:t>
        </x:is>
      </x:c>
      <x:c r="E29" t="inlineStr">
        <x:is>
          <x:t xml:space="preserve">Elektronik</x:t>
        </x:is>
      </x:c>
      <x:c r="F29" t="inlineStr">
        <x:is>
          <x:t xml:space="preserve">Haushaltsgeräte</x:t>
        </x:is>
      </x:c>
      <x:c r="G29" t="inlineStr">
        <x:is>
          <x:t xml:space="preserve">MünsterWerk Kaffeemashine 9 Pro aus der Kategorie Elektronik/Haushaltsgeräte. Farbe: gelb. Material: Keramik. Gewicht: 0.634 kg.</x:t>
        </x:is>
      </x:c>
      <x:c r="H29" s="2" t="n">
        <x:v>621.63</x:v>
      </x:c>
      <x:c r="I29" s="3" t="n">
        <x:v>677.58</x:v>
      </x:c>
      <x:c r="J29" s="4" t="n">
        <x:v>1.09</x:v>
      </x:c>
      <x:c r="K29" s="5" t="n">
        <x:v>19</x:v>
      </x:c>
      <x:c r="L29" t="n">
        <x:v>113</x:v>
      </x:c>
      <x:c r="M29" s="4" t="n">
        <x:v>0.634</x:v>
      </x:c>
      <x:c r="N29" s="6" t="n">
        <x:v>6.9</x:v>
      </x:c>
      <x:c r="O29" s="6" t="n">
        <x:v>21.8</x:v>
      </x:c>
      <x:c r="P29" s="6" t="n">
        <x:v>4.9</x:v>
      </x:c>
      <x:c r="Q29" t="inlineStr">
        <x:is>
          <x:t xml:space="preserve">gelb</x:t>
        </x:is>
      </x:c>
      <x:c r="R29" t="inlineStr">
        <x:is>
          <x:t xml:space="preserve">Keramik</x:t>
        </x:is>
      </x:c>
      <x:c r="S29" t="n">
        <x:v>24</x:v>
      </x:c>
      <x:c r="T29" t="inlineStr">
        <x:is>
          <x:t xml:space="preserve">D</x:t>
        </x:is>
      </x:c>
      <x:c r="U29" t="n">
        <x:v>1001</x:v>
      </x:c>
      <x:c r="V29" t="n">
        <x:v>18</x:v>
      </x:c>
      <x:c r="W29" t="inlineStr">
        <x:is>
          <x:t xml:space="preserve"/>
        </x:is>
      </x:c>
      <x:c r="X29" t="inlineStr">
        <x:is>
          <x:t xml:space="preserve"/>
        </x:is>
      </x:c>
      <x:c r="Y29" t="inlineStr">
        <x:is>
          <x:t xml:space="preserve"/>
        </x:is>
      </x:c>
      <x:c r="Z29" t="inlineStr">
        <x:is>
          <x:t xml:space="preserve"/>
        </x:is>
      </x:c>
      <x:c r="AA29" t="inlineStr">
        <x:is>
          <x:t xml:space="preserve">TR</x:t>
        </x:is>
      </x:c>
      <x:c r="AB29" s="3">
        <x:f>IF(OR(ISBLANK(H29),ISBLANK(J29)),"",ROUND(H29*J29,2))</x:f>
        <x:v>677.58</x:v>
      </x:c>
      <x:c r="AC29" s="5">
        <x:f>IF(OR(ISBLANK(I29),ISBLANK(AB29),AB29=0),"",(I29-AB29)/AB29)</x:f>
        <x:v>0</x:v>
      </x:c>
      <x:c r="AD29">
        <x:f>IF(OR(ISBLANK(Y29),ISBLANK(Z29)),"",IF(Z29&gt;Y29,"FEHLER: offen &gt; gesamt","OK"))</x:f>
      </x:c>
    </x:row>
    <x:row r="30">
      <x:c r="A30" t="inlineStr">
        <x:is>
          <x:t xml:space="preserve">P10029</x:t>
        </x:is>
      </x:c>
      <x:c r="B30" t="inlineStr">
        <x:is>
          <x:t xml:space="preserve">SKU-3KMKZEBB</x:t>
        </x:is>
      </x:c>
      <x:c r="C30" t="inlineStr">
        <x:is>
          <x:t xml:space="preserve">RheinTech</x:t>
        </x:is>
      </x:c>
      <x:c r="D30" t="inlineStr">
        <x:is>
          <x:t xml:space="preserve">RheinTech Jeans 4 Pro</x:t>
        </x:is>
      </x:c>
      <x:c r="E30" t="inlineStr">
        <x:is>
          <x:t xml:space="preserve">Bekleidung</x:t>
        </x:is>
      </x:c>
      <x:c r="F30" t="inlineStr">
        <x:is>
          <x:t xml:space="preserve">Herren</x:t>
        </x:is>
      </x:c>
      <x:c r="G30" t="inlineStr">
        <x:is>
          <x:t xml:space="preserve">RheinTech Jeans 4 Pro aus der Kategorie Bekleidung/Herren. Farbe: beige. Material: Aluminium. Gewicht: 1.023 kg.</x:t>
        </x:is>
      </x:c>
      <x:c r="H30" s="2" t="n">
        <x:v>664.66</x:v>
      </x:c>
      <x:c r="I30" s="3" t="n">
        <x:v>724.48</x:v>
      </x:c>
      <x:c r="J30" s="4" t="n">
        <x:v>1.09</x:v>
      </x:c>
      <x:c r="K30" s="5" t="n">
        <x:v>19</x:v>
      </x:c>
      <x:c r="L30" t="n">
        <x:v>51</x:v>
      </x:c>
      <x:c r="M30" s="4" t="n">
        <x:v>1.023</x:v>
      </x:c>
      <x:c r="N30" s="6" t="n">
        <x:v>62.9</x:v>
      </x:c>
      <x:c r="O30" s="6" t="n">
        <x:v>21.3</x:v>
      </x:c>
      <x:c r="P30" s="6" t="n">
        <x:v>0.5</x:v>
      </x:c>
      <x:c r="Q30" t="inlineStr">
        <x:is>
          <x:t xml:space="preserve">beige</x:t>
        </x:is>
      </x:c>
      <x:c r="R30" t="inlineStr">
        <x:is>
          <x:t xml:space="preserve">Aluminium</x:t>
        </x:is>
      </x:c>
      <x:c r="S30" t="n">
        <x:v>0</x:v>
      </x:c>
      <x:c r="T30" t="inlineStr">
        <x:is>
          <x:t xml:space="preserve"/>
        </x:is>
      </x:c>
      <x:c r="U30" t="inlineStr">
        <x:is>
          <x:t xml:space="preserve"/>
        </x:is>
      </x:c>
      <x:c r="V30" t="inlineStr">
        <x:is>
          <x:t xml:space="preserve"/>
        </x:is>
      </x:c>
      <x:c r="W30" t="inlineStr">
        <x:is>
          <x:t xml:space="preserve">2026-03-02</x:t>
        </x:is>
      </x:c>
      <x:c r="X30" t="inlineStr">
        <x:is>
          <x:t xml:space="preserve"/>
        </x:is>
      </x:c>
      <x:c r="Y30" t="inlineStr">
        <x:is>
          <x:t xml:space="preserve"/>
        </x:is>
      </x:c>
      <x:c r="Z30" t="inlineStr">
        <x:is>
          <x:t xml:space="preserve"/>
        </x:is>
      </x:c>
      <x:c r="AA30" t="inlineStr">
        <x:is>
          <x:t xml:space="preserve">TR</x:t>
        </x:is>
      </x:c>
      <x:c r="AB30" s="3">
        <x:f>IF(OR(ISBLANK(H30),ISBLANK(J30)),"",ROUND(H30*J30,2))</x:f>
        <x:v>724.48</x:v>
      </x:c>
      <x:c r="AC30" s="5">
        <x:f>IF(OR(ISBLANK(I30),ISBLANK(AB30),AB30=0),"",(I30-AB30)/AB30)</x:f>
        <x:v>0</x:v>
      </x:c>
      <x:c r="AD30">
        <x:f>IF(OR(ISBLANK(Y30),ISBLANK(Z30)),"",IF(Z30&gt;Y30,"FEHLER: offen &gt; gesamt","OK"))</x:f>
      </x:c>
    </x:row>
    <x:row r="31">
      <x:c r="A31" t="inlineStr">
        <x:is>
          <x:t xml:space="preserve">P10030</x:t>
        </x:is>
      </x:c>
      <x:c r="B31" t="inlineStr">
        <x:is>
          <x:t xml:space="preserve">SKU-3OCWBFUK</x:t>
        </x:is>
      </x:c>
      <x:c r="C31" t="inlineStr">
        <x:is>
          <x:t xml:space="preserve">KinderWelt</x:t>
        </x:is>
      </x:c>
      <x:c r="D31" t="inlineStr">
        <x:is>
          <x:t xml:space="preserve">KinderWelt Schraubenset 5 Mini</x:t>
        </x:is>
      </x:c>
      <x:c r="E31" t="inlineStr">
        <x:is>
          <x:t xml:space="preserve">Baumarkt</x:t>
        </x:is>
      </x:c>
      <x:c r="F31" t="inlineStr">
        <x:is>
          <x:t xml:space="preserve">Schrauben &amp; Nägel</x:t>
        </x:is>
      </x:c>
      <x:c r="G31" t="inlineStr">
        <x:is>
          <x:t xml:space="preserve">KinderWelt Schraubenset 5 Mini aus der Kategorie Baumarkt/Schrauben &amp; Nägel. Farbe: weiß. Material: Kunststoff. Gewicht: 0.08 kg.</x:t>
        </x:is>
      </x:c>
      <x:c r="H31" s="2" t="n">
        <x:v>431.67</x:v>
      </x:c>
      <x:c r="I31" s="3" t="n">
        <x:v>470.52</x:v>
      </x:c>
      <x:c r="J31" s="4" t="n">
        <x:v>1.09</x:v>
      </x:c>
      <x:c r="K31" s="5" t="n">
        <x:v>19</x:v>
      </x:c>
      <x:c r="L31" t="n">
        <x:v>58</x:v>
      </x:c>
      <x:c r="M31" s="4" t="n">
        <x:v>0.08</x:v>
      </x:c>
      <x:c r="N31" s="6" t="n">
        <x:v>84.59999999999999</x:v>
      </x:c>
      <x:c r="O31" s="6" t="n">
        <x:v>19.5</x:v>
      </x:c>
      <x:c r="P31" s="6" t="n">
        <x:v>33.9</x:v>
      </x:c>
      <x:c r="Q31" t="inlineStr">
        <x:is>
          <x:t xml:space="preserve">weiß</x:t>
        </x:is>
      </x:c>
      <x:c r="R31" t="inlineStr">
        <x:is>
          <x:t xml:space="preserve">Kunststoff</x:t>
        </x:is>
      </x:c>
      <x:c r="S31" t="n">
        <x:v>24</x:v>
      </x:c>
      <x:c r="T31" t="inlineStr">
        <x:is>
          <x:t xml:space="preserve"/>
        </x:is>
      </x:c>
      <x:c r="U31" t="inlineStr">
        <x:is>
          <x:t xml:space="preserve"/>
        </x:is>
      </x:c>
      <x:c r="V31" t="inlineStr">
        <x:is>
          <x:t xml:space="preserve"/>
        </x:is>
      </x:c>
      <x:c r="W31" t="inlineStr">
        <x:is>
          <x:t xml:space="preserve"/>
        </x:is>
      </x:c>
      <x:c r="X31" t="inlineStr">
        <x:is>
          <x:t xml:space="preserve"/>
        </x:is>
      </x:c>
      <x:c r="Y31" t="inlineStr">
        <x:is>
          <x:t xml:space="preserve"/>
        </x:is>
      </x:c>
      <x:c r="Z31" t="inlineStr">
        <x:is>
          <x:t xml:space="preserve"/>
        </x:is>
      </x:c>
      <x:c r="AA31" t="inlineStr">
        <x:is>
          <x:t xml:space="preserve">VN</x:t>
        </x:is>
      </x:c>
      <x:c r="AB31" s="3">
        <x:f>IF(OR(ISBLANK(H31),ISBLANK(J31)),"",ROUND(H31*J31,2))</x:f>
        <x:v>470.52</x:v>
      </x:c>
      <x:c r="AC31" s="5">
        <x:f>IF(OR(ISBLANK(I31),ISBLANK(AB31),AB31=0),"",(I31-AB31)/AB31)</x:f>
        <x:v>0</x:v>
      </x:c>
      <x:c r="AD31">
        <x:f>IF(OR(ISBLANK(Y31),ISBLANK(Z31)),"",IF(Z31&gt;Y31,"FEHLER: offen &gt; gesamt","OK"))</x:f>
      </x:c>
    </x:row>
    <x:row r="32">
      <x:c r="A32" t="inlineStr">
        <x:is>
          <x:t xml:space="preserve">P10031</x:t>
        </x:is>
      </x:c>
      <x:c r="B32" t="inlineStr">
        <x:is>
          <x:t xml:space="preserve">SKU-C8D1WJCI</x:t>
        </x:is>
      </x:c>
      <x:c r="C32" t="inlineStr">
        <x:is>
          <x:t xml:space="preserve">GartenZeit</x:t>
        </x:is>
      </x:c>
      <x:c r="D32" t="inlineStr">
        <x:is>
          <x:t xml:space="preserve">GartenZeit Yogamatte 4 Mini</x:t>
        </x:is>
      </x:c>
      <x:c r="E32" t="inlineStr">
        <x:is>
          <x:t xml:space="preserve">Sport</x:t>
        </x:is>
      </x:c>
      <x:c r="F32" t="inlineStr">
        <x:is>
          <x:t xml:space="preserve">Fitness</x:t>
        </x:is>
      </x:c>
      <x:c r="G32" t="inlineStr">
        <x:is>
          <x:t xml:space="preserve">GartenZeit Yogamatte 4 Mini aus der Kategorie Sport/Fitness. Farbe: pink. Material: Leder. Gewicht: 0.05 kg.</x:t>
        </x:is>
      </x:c>
      <x:c r="H32" s="2" t="n">
        <x:v>406.39</x:v>
      </x:c>
      <x:c r="I32" s="3" t="n">
        <x:v>442.97</x:v>
      </x:c>
      <x:c r="J32" s="4" t="n">
        <x:v>1.09</x:v>
      </x:c>
      <x:c r="K32" s="5" t="n">
        <x:v>19</x:v>
      </x:c>
      <x:c r="L32" t="n">
        <x:v>317</x:v>
      </x:c>
      <x:c r="M32" s="4" t="n">
        <x:v>0.05</x:v>
      </x:c>
      <x:c r="N32" s="6" t="n">
        <x:v>47.5</x:v>
      </x:c>
      <x:c r="O32" s="6" t="n">
        <x:v>32.8</x:v>
      </x:c>
      <x:c r="P32" s="6" t="n">
        <x:v>9.4</x:v>
      </x:c>
      <x:c r="Q32" t="inlineStr">
        <x:is>
          <x:t xml:space="preserve">pink</x:t>
        </x:is>
      </x:c>
      <x:c r="R32" t="inlineStr">
        <x:is>
          <x:t xml:space="preserve">Leder</x:t>
        </x:is>
      </x:c>
      <x:c r="S32" t="n">
        <x:v>0</x:v>
      </x:c>
      <x:c r="T32" t="inlineStr">
        <x:is>
          <x:t xml:space="preserve"/>
        </x:is>
      </x:c>
      <x:c r="U32" t="inlineStr">
        <x:is>
          <x:t xml:space="preserve"/>
        </x:is>
      </x:c>
      <x:c r="V32" t="inlineStr">
        <x:is>
          <x:t xml:space="preserve"/>
        </x:is>
      </x:c>
      <x:c r="W32" t="inlineStr">
        <x:is>
          <x:t xml:space="preserve"/>
        </x:is>
      </x:c>
      <x:c r="X32" t="inlineStr">
        <x:is>
          <x:t xml:space="preserve"/>
        </x:is>
      </x:c>
      <x:c r="Y32" t="inlineStr">
        <x:is>
          <x:t xml:space="preserve"/>
        </x:is>
      </x:c>
      <x:c r="Z32" t="inlineStr">
        <x:is>
          <x:t xml:space="preserve"/>
        </x:is>
      </x:c>
      <x:c r="AA32" t="inlineStr">
        <x:is>
          <x:t xml:space="preserve">PL</x:t>
        </x:is>
      </x:c>
      <x:c r="AB32" s="3">
        <x:f>IF(OR(ISBLANK(H32),ISBLANK(J32)),"",ROUND(H32*J32,2))</x:f>
        <x:v>442.97</x:v>
      </x:c>
      <x:c r="AC32" s="5">
        <x:f>IF(OR(ISBLANK(I32),ISBLANK(AB32),AB32=0),"",(I32-AB32)/AB32)</x:f>
        <x:v>0</x:v>
      </x:c>
      <x:c r="AD32">
        <x:f>IF(OR(ISBLANK(Y32),ISBLANK(Z32)),"",IF(Z32&gt;Y32,"FEHLER: offen &gt; gesamt","OK"))</x:f>
      </x:c>
    </x:row>
    <x:row r="33">
      <x:c r="A33" t="inlineStr">
        <x:is>
          <x:t xml:space="preserve">P10032</x:t>
        </x:is>
      </x:c>
      <x:c r="B33" t="inlineStr">
        <x:is>
          <x:t xml:space="preserve">SKU-C8D1WJCI</x:t>
        </x:is>
      </x:c>
      <x:c r="C33" t="inlineStr">
        <x:is>
          <x:t xml:space="preserve">KinderWelt</x:t>
        </x:is>
      </x:c>
      <x:c r="D33" t="inlineStr">
        <x:is>
          <x:t xml:space="preserve">KinderWelt Yogamatte 5</x:t>
        </x:is>
      </x:c>
      <x:c r="E33" t="inlineStr">
        <x:is>
          <x:t xml:space="preserve">Sport</x:t>
        </x:is>
      </x:c>
      <x:c r="F33" t="inlineStr">
        <x:is>
          <x:t xml:space="preserve">Fitness</x:t>
        </x:is>
      </x:c>
      <x:c r="G33" t="inlineStr">
        <x:is>
          <x:t xml:space="preserve">KinderWelt Yogamatte 5 aus der Kategorie Sport/Fitness. Farbe: pink. Material: Keramik. Gewicht: 0.867 kg.</x:t>
        </x:is>
      </x:c>
      <x:c r="H33" s="2" t="n">
        <x:v>210.02</x:v>
      </x:c>
      <x:c r="I33" s="3" t="n">
        <x:v>228.92</x:v>
      </x:c>
      <x:c r="J33" s="4" t="n">
        <x:v>1.09</x:v>
      </x:c>
      <x:c r="K33" s="5" t="n">
        <x:v>19</x:v>
      </x:c>
      <x:c r="L33" t="n">
        <x:v>473</x:v>
      </x:c>
      <x:c r="M33" s="4" t="n">
        <x:v>0.867</x:v>
      </x:c>
      <x:c r="N33" s="6" t="n">
        <x:v>1</x:v>
      </x:c>
      <x:c r="O33" s="6" t="n">
        <x:v>1</x:v>
      </x:c>
      <x:c r="P33" s="6" t="n">
        <x:v>15.2</x:v>
      </x:c>
      <x:c r="Q33" t="inlineStr">
        <x:is>
          <x:t xml:space="preserve">pink</x:t>
        </x:is>
      </x:c>
      <x:c r="R33" t="inlineStr">
        <x:is>
          <x:t xml:space="preserve">Keramik</x:t>
        </x:is>
      </x:c>
      <x:c r="S33" t="n">
        <x:v>0</x:v>
      </x:c>
      <x:c r="T33" t="inlineStr">
        <x:is>
          <x:t xml:space="preserve"/>
        </x:is>
      </x:c>
      <x:c r="U33" t="inlineStr">
        <x:is>
          <x:t xml:space="preserve"/>
        </x:is>
      </x:c>
      <x:c r="V33" t="inlineStr">
        <x:is>
          <x:t xml:space="preserve"/>
        </x:is>
      </x:c>
      <x:c r="W33" t="inlineStr">
        <x:is>
          <x:t xml:space="preserve"/>
        </x:is>
      </x:c>
      <x:c r="X33" t="inlineStr">
        <x:is>
          <x:t xml:space="preserve"/>
        </x:is>
      </x:c>
      <x:c r="Y33" t="inlineStr">
        <x:is>
          <x:t xml:space="preserve"/>
        </x:is>
      </x:c>
      <x:c r="Z33" t="inlineStr">
        <x:is>
          <x:t xml:space="preserve"/>
        </x:is>
      </x:c>
      <x:c r="AA33" t="inlineStr">
        <x:is>
          <x:t xml:space="preserve">TR</x:t>
        </x:is>
      </x:c>
      <x:c r="AB33" s="3">
        <x:f>IF(OR(ISBLANK(H33),ISBLANK(J33)),"",ROUND(H33*J33,2))</x:f>
        <x:v>228.92</x:v>
      </x:c>
      <x:c r="AC33" s="5">
        <x:f>IF(OR(ISBLANK(I33),ISBLANK(AB33),AB33=0),"",(I33-AB33)/AB33)</x:f>
        <x:v>0</x:v>
      </x:c>
      <x:c r="AD33">
        <x:f>IF(OR(ISBLANK(Y33),ISBLANK(Z33)),"",IF(Z33&gt;Y33,"FEHLER: offen &gt; gesamt","OK"))</x:f>
      </x:c>
    </x:row>
    <x:row r="34">
      <x:c r="A34" t="inlineStr">
        <x:is>
          <x:t xml:space="preserve">P10033</x:t>
        </x:is>
      </x:c>
      <x:c r="B34" t="inlineStr">
        <x:is>
          <x:t xml:space="preserve">SKU-CBPLJD84</x:t>
        </x:is>
      </x:c>
      <x:c r="C34" t="inlineStr">
        <x:is>
          <x:t xml:space="preserve">GartenZeit</x:t>
        </x:is>
      </x:c>
      <x:c r="E34" t="inlineStr">
        <x:is>
          <x:t xml:space="preserve">Bekleidung</x:t>
        </x:is>
      </x:c>
      <x:c r="F34" t="inlineStr">
        <x:is>
          <x:t xml:space="preserve">Damen</x:t>
        </x:is>
      </x:c>
      <x:c r="G34" t="inlineStr">
        <x:is>
          <x:t xml:space="preserve">GartenZeit Strickpullover 8 aus der Kategorie Bekleidung/Damen. Farbe: pink. Material: Polyester. Gewicht: 0.929 kg.</x:t>
        </x:is>
      </x:c>
      <x:c r="H34" s="2" t="n">
        <x:v>422.69</x:v>
      </x:c>
      <x:c r="I34" s="3" t="n">
        <x:v>460.73</x:v>
      </x:c>
      <x:c r="J34" s="4" t="n">
        <x:v>1.09</x:v>
      </x:c>
      <x:c r="K34" s="5" t="n">
        <x:v>19</x:v>
      </x:c>
      <x:c r="L34" t="n">
        <x:v>224</x:v>
      </x:c>
      <x:c r="M34" s="4" t="n">
        <x:v>0.929</x:v>
      </x:c>
      <x:c r="N34" s="6" t="n">
        <x:v>99999</x:v>
      </x:c>
      <x:c r="O34" s="6" t="n">
        <x:v>17.4</x:v>
      </x:c>
      <x:c r="P34" s="6" t="n">
        <x:v>24.8</x:v>
      </x:c>
      <x:c r="Q34" t="inlineStr">
        <x:is>
          <x:t xml:space="preserve">pink</x:t>
        </x:is>
      </x:c>
      <x:c r="R34" t="inlineStr">
        <x:is>
          <x:t xml:space="preserve">Polyester</x:t>
        </x:is>
      </x:c>
      <x:c r="S34" t="n">
        <x:v>0</x:v>
      </x:c>
      <x:c r="T34" t="inlineStr">
        <x:is>
          <x:t xml:space="preserve">C</x:t>
        </x:is>
      </x:c>
      <x:c r="U34" t="inlineStr">
        <x:is>
          <x:t xml:space="preserve"/>
        </x:is>
      </x:c>
      <x:c r="V34" t="inlineStr">
        <x:is>
          <x:t xml:space="preserve"/>
        </x:is>
      </x:c>
      <x:c r="W34" t="inlineStr">
        <x:is>
          <x:t xml:space="preserve"/>
        </x:is>
      </x:c>
      <x:c r="X34" t="inlineStr">
        <x:is>
          <x:t xml:space="preserve"/>
        </x:is>
      </x:c>
      <x:c r="Y34" t="inlineStr">
        <x:is>
          <x:t xml:space="preserve"/>
        </x:is>
      </x:c>
      <x:c r="Z34" t="inlineStr">
        <x:is>
          <x:t xml:space="preserve"/>
        </x:is>
      </x:c>
      <x:c r="AA34" t="inlineStr">
        <x:is>
          <x:t xml:space="preserve">DE</x:t>
        </x:is>
      </x:c>
      <x:c r="AB34" s="3">
        <x:f>IF(OR(ISBLANK(H34),ISBLANK(J34)),"",ROUND(H34*J34,2))</x:f>
        <x:v>460.73</x:v>
      </x:c>
      <x:c r="AC34" s="5">
        <x:f>IF(OR(ISBLANK(I34),ISBLANK(AB34),AB34=0),"",(I34-AB34)/AB34)</x:f>
        <x:v>0</x:v>
      </x:c>
      <x:c r="AD34">
        <x:f>IF(OR(ISBLANK(Y34),ISBLANK(Z34)),"",IF(Z34&gt;Y34,"FEHLER: offen &gt; gesamt","OK"))</x:f>
      </x:c>
    </x:row>
    <x:row r="35">
      <x:c r="A35" t="inlineStr">
        <x:is>
          <x:t xml:space="preserve">P10034</x:t>
        </x:is>
      </x:c>
      <x:c r="B35" t="inlineStr">
        <x:is>
          <x:t xml:space="preserve">SKU-LYK83TQL</x:t>
        </x:is>
      </x:c>
      <x:c r="C35" t="inlineStr">
        <x:is>
          <x:t xml:space="preserve">KinderWelt</x:t>
        </x:is>
      </x:c>
      <x:c r="D35" t="inlineStr">
        <x:is>
          <x:t xml:space="preserve">KinderWelt Schraubenset 7 Mini</x:t>
        </x:is>
      </x:c>
      <x:c r="E35" t="inlineStr">
        <x:is>
          <x:t xml:space="preserve">Baumarkt</x:t>
        </x:is>
      </x:c>
      <x:c r="F35" t="inlineStr">
        <x:is>
          <x:t xml:space="preserve">Schrauben &amp; Nägel</x:t>
        </x:is>
      </x:c>
      <x:c r="G35" t="inlineStr">
        <x:is>
          <x:t xml:space="preserve">KinderWelt Schraubenset 7 Mini aus der Kategorie Baumarkt/Schrauben &amp; Nägel. Farbe: blau. Material: Aluminium. Gewicht: 0.395 kg.</x:t>
        </x:is>
      </x:c>
      <x:c r="H35" s="2" t="n">
        <x:v>871.26</x:v>
      </x:c>
      <x:c r="I35" s="3" t="n">
        <x:v>949.67</x:v>
      </x:c>
      <x:c r="J35" s="4" t="n">
        <x:v>1.09</x:v>
      </x:c>
      <x:c r="K35" s="5" t="n">
        <x:v>19</x:v>
      </x:c>
      <x:c r="L35" t="n">
        <x:v>82</x:v>
      </x:c>
      <x:c r="M35" s="4" t="n">
        <x:v>0.395</x:v>
      </x:c>
      <x:c r="N35" s="6" t="n">
        <x:v>34.8</x:v>
      </x:c>
      <x:c r="O35" s="6" t="n">
        <x:v>17</x:v>
      </x:c>
      <x:c r="P35" s="6" t="n">
        <x:v>15.1</x:v>
      </x:c>
      <x:c r="Q35" t="inlineStr">
        <x:is>
          <x:t xml:space="preserve">blau</x:t>
        </x:is>
      </x:c>
      <x:c r="R35" t="inlineStr">
        <x:is>
          <x:t xml:space="preserve">Aluminium</x:t>
        </x:is>
      </x:c>
      <x:c r="S35" t="n">
        <x:v>24</x:v>
      </x:c>
      <x:c r="T35" t="inlineStr">
        <x:is>
          <x:t xml:space="preserve"/>
        </x:is>
      </x:c>
      <x:c r="U35" t="inlineStr">
        <x:is>
          <x:t xml:space="preserve"/>
        </x:is>
      </x:c>
      <x:c r="V35" t="inlineStr">
        <x:is>
          <x:t xml:space="preserve"/>
        </x:is>
      </x:c>
      <x:c r="W35" t="inlineStr">
        <x:is>
          <x:t xml:space="preserve"/>
        </x:is>
      </x:c>
      <x:c r="X35" t="inlineStr">
        <x:is>
          <x:t xml:space="preserve"/>
        </x:is>
      </x:c>
      <x:c r="Y35" t="inlineStr">
        <x:is>
          <x:t xml:space="preserve"/>
        </x:is>
      </x:c>
      <x:c r="Z35" t="inlineStr">
        <x:is>
          <x:t xml:space="preserve"/>
        </x:is>
      </x:c>
      <x:c r="AA35" t="inlineStr">
        <x:is>
          <x:t xml:space="preserve">IT</x:t>
        </x:is>
      </x:c>
      <x:c r="AB35" s="3">
        <x:f>IF(OR(ISBLANK(H35),ISBLANK(J35)),"",ROUND(H35*J35,2))</x:f>
        <x:v>949.67</x:v>
      </x:c>
      <x:c r="AC35" s="5">
        <x:f>IF(OR(ISBLANK(I35),ISBLANK(AB35),AB35=0),"",(I35-AB35)/AB35)</x:f>
        <x:v>0</x:v>
      </x:c>
      <x:c r="AD35">
        <x:f>IF(OR(ISBLANK(Y35),ISBLANK(Z35)),"",IF(Z35&gt;Y35,"FEHLER: offen &gt; gesamt","OK"))</x:f>
      </x:c>
    </x:row>
    <x:row r="36">
      <x:c r="A36" t="inlineStr">
        <x:is>
          <x:t xml:space="preserve">P10035</x:t>
        </x:is>
      </x:c>
      <x:c r="B36" t="inlineStr">
        <x:is>
          <x:t xml:space="preserve">SKU-HT7PZE9V</x:t>
        </x:is>
      </x:c>
      <x:c r="C36" t="inlineStr">
        <x:is>
          <x:t xml:space="preserve">FeinKost</x:t>
        </x:is>
      </x:c>
      <x:c r="D36" t="inlineStr">
        <x:is>
          <x:t xml:space="preserve">FeinKost Trinkflasche 8 Mini</x:t>
        </x:is>
      </x:c>
      <x:c r="E36" t="inlineStr">
        <x:is>
          <x:t xml:space="preserve">Sport</x:t>
        </x:is>
      </x:c>
      <x:c r="F36" t="inlineStr">
        <x:is>
          <x:t xml:space="preserve">Outdoor</x:t>
        </x:is>
      </x:c>
      <x:c r="G36" t="inlineStr">
        <x:is>
          <x:t xml:space="preserve">FeinKost Trinkflasche 8 Mini aus der Kategorie Sport/Outdoor. Farbe: schwarz. Material: Gummi. Gewicht: 0.091 kg.</x:t>
        </x:is>
      </x:c>
      <x:c r="H36" s="2" t="n">
        <x:v>51.09</x:v>
      </x:c>
      <x:c r="I36" s="3" t="n">
        <x:v>55.69</x:v>
      </x:c>
      <x:c r="J36" s="4" t="n">
        <x:v>1.09</x:v>
      </x:c>
      <x:c r="K36" s="5" t="n">
        <x:v>19</x:v>
      </x:c>
      <x:c r="L36" t="n">
        <x:v>26</x:v>
      </x:c>
      <x:c r="M36" s="4" t="n">
        <x:v>-5</x:v>
      </x:c>
      <x:c r="N36" s="6" t="n">
        <x:v>26</x:v>
      </x:c>
      <x:c r="O36" s="6" t="n">
        <x:v>3.8</x:v>
      </x:c>
      <x:c r="P36" s="6" t="n">
        <x:v>10.1</x:v>
      </x:c>
      <x:c r="Q36" t="inlineStr">
        <x:is>
          <x:t xml:space="preserve">schwarz</x:t>
        </x:is>
      </x:c>
      <x:c r="R36" t="inlineStr">
        <x:is>
          <x:t xml:space="preserve">Gummi</x:t>
        </x:is>
      </x:c>
      <x:c r="S36" t="n">
        <x:v>0</x:v>
      </x:c>
      <x:c r="T36" t="inlineStr">
        <x:is>
          <x:t xml:space="preserve">B</x:t>
        </x:is>
      </x:c>
      <x:c r="U36" t="inlineStr">
        <x:is>
          <x:t xml:space="preserve"/>
        </x:is>
      </x:c>
      <x:c r="V36" t="inlineStr">
        <x:is>
          <x:t xml:space="preserve"/>
        </x:is>
      </x:c>
      <x:c r="W36" t="inlineStr">
        <x:is>
          <x:t xml:space="preserve"/>
        </x:is>
      </x:c>
      <x:c r="X36" t="inlineStr">
        <x:is>
          <x:t xml:space="preserve"/>
        </x:is>
      </x:c>
      <x:c r="Y36" t="inlineStr">
        <x:is>
          <x:t xml:space="preserve"/>
        </x:is>
      </x:c>
      <x:c r="Z36" t="inlineStr">
        <x:is>
          <x:t xml:space="preserve"/>
        </x:is>
      </x:c>
      <x:c r="AA36" t="inlineStr">
        <x:is>
          <x:t xml:space="preserve">VN</x:t>
        </x:is>
      </x:c>
      <x:c r="AB36" s="3">
        <x:f>IF(OR(ISBLANK(H36),ISBLANK(J36)),"",ROUND(H36*J36,2))</x:f>
        <x:v>55.69</x:v>
      </x:c>
      <x:c r="AC36" s="5">
        <x:f>IF(OR(ISBLANK(I36),ISBLANK(AB36),AB36=0),"",(I36-AB36)/AB36)</x:f>
        <x:v>0</x:v>
      </x:c>
      <x:c r="AD36">
        <x:f>IF(OR(ISBLANK(Y36),ISBLANK(Z36)),"",IF(Z36&gt;Y36,"FEHLER: offen &gt; gesamt","OK"))</x:f>
      </x:c>
    </x:row>
    <x:row r="37">
      <x:c r="A37" t="inlineStr">
        <x:is>
          <x:t xml:space="preserve">P10036</x:t>
        </x:is>
      </x:c>
      <x:c r="B37" t="inlineStr">
        <x:is>
          <x:t xml:space="preserve">SKU-FGV0EC14</x:t>
        </x:is>
      </x:c>
      <x:c r="C37" t="inlineStr">
        <x:is>
          <x:t xml:space="preserve">MünsterWerk</x:t>
        </x:is>
      </x:c>
      <x:c r="D37" t="inlineStr">
        <x:is>
          <x:t xml:space="preserve">MünsterWerk Kaffeemaschine 2 Pro</x:t>
        </x:is>
      </x:c>
      <x:c r="E37" t="inlineStr">
        <x:is>
          <x:t xml:space="preserve">Elektronik</x:t>
        </x:is>
      </x:c>
      <x:c r="F37" t="inlineStr">
        <x:is>
          <x:t xml:space="preserve">Haushaltsgeräte</x:t>
        </x:is>
      </x:c>
      <x:c r="G37" t="inlineStr">
        <x:is>
          <x:t xml:space="preserve">MünsterWerk Kaffeemaschine 2 Pro aus der Kategorei Elektronik/Haushaltsgeräte. Farbe: weiß. Material: Keramik. Gewicht: 1.001 kg.</x:t>
        </x:is>
      </x:c>
      <x:c r="H37" s="2" t="n">
        <x:v>-449.29</x:v>
      </x:c>
      <x:c r="I37" s="3" t="n">
        <x:v>489.73</x:v>
      </x:c>
      <x:c r="J37" s="4" t="n">
        <x:v>1.09</x:v>
      </x:c>
      <x:c r="K37" s="5" t="n">
        <x:v>19</x:v>
      </x:c>
      <x:c r="L37" t="n">
        <x:v>241</x:v>
      </x:c>
      <x:c r="M37" s="4" t="n">
        <x:v>1.001</x:v>
      </x:c>
      <x:c r="N37" s="6" t="n">
        <x:v>1</x:v>
      </x:c>
      <x:c r="O37" s="6" t="n">
        <x:v>15.8</x:v>
      </x:c>
      <x:c r="P37" s="6" t="n">
        <x:v>32.5</x:v>
      </x:c>
      <x:c r="Q37" t="inlineStr">
        <x:is>
          <x:t xml:space="preserve">weiß</x:t>
        </x:is>
      </x:c>
      <x:c r="R37" t="inlineStr">
        <x:is>
          <x:t xml:space="preserve">Keramik</x:t>
        </x:is>
      </x:c>
      <x:c r="S37" t="n">
        <x:v>24</x:v>
      </x:c>
      <x:c r="T37" t="inlineStr">
        <x:is>
          <x:t xml:space="preserve">B</x:t>
        </x:is>
      </x:c>
      <x:c r="U37" t="n">
        <x:v>1875</x:v>
      </x:c>
      <x:c r="V37" t="n">
        <x:v>230</x:v>
      </x:c>
      <x:c r="W37" t="inlineStr">
        <x:is>
          <x:t xml:space="preserve"/>
        </x:is>
      </x:c>
      <x:c r="X37" t="inlineStr">
        <x:is>
          <x:t xml:space="preserve"/>
        </x:is>
      </x:c>
      <x:c r="Y37" t="inlineStr">
        <x:is>
          <x:t xml:space="preserve"/>
        </x:is>
      </x:c>
      <x:c r="Z37" t="inlineStr">
        <x:is>
          <x:t xml:space="preserve"/>
        </x:is>
      </x:c>
      <x:c r="AA37" t="inlineStr">
        <x:is>
          <x:t xml:space="preserve">IT</x:t>
        </x:is>
      </x:c>
      <x:c r="AB37" s="3">
        <x:f>IF(OR(ISBLANK(H37),ISBLANK(J37)),"",ROUND(H37*J37,2))</x:f>
        <x:v>-489.73</x:v>
      </x:c>
      <x:c r="AC37" s="5">
        <x:f>IF(OR(ISBLANK(I37),ISBLANK(AB37),AB37=0),"",(I37-AB37)/AB37)</x:f>
        <x:v>-2</x:v>
      </x:c>
      <x:c r="AD37">
        <x:f>IF(OR(ISBLANK(Y37),ISBLANK(Z37)),"",IF(Z37&gt;Y37,"FEHLER: offen &gt; gesamt","OK"))</x:f>
      </x:c>
    </x:row>
    <x:row r="38">
      <x:c r="A38" t="inlineStr">
        <x:is>
          <x:t xml:space="preserve">P10037</x:t>
        </x:is>
      </x:c>
      <x:c r="B38" t="inlineStr">
        <x:is>
          <x:t xml:space="preserve">SKU-IN4OLR6N</x:t>
        </x:is>
      </x:c>
      <x:c r="C38" t="inlineStr">
        <x:is>
          <x:t xml:space="preserve">GartenZeit</x:t>
        </x:is>
      </x:c>
      <x:c r="D38" t="inlineStr">
        <x:is>
          <x:t xml:space="preserve">GartenZeit Pasta 8 Mini</x:t>
        </x:is>
      </x:c>
      <x:c r="E38" t="inlineStr">
        <x:is>
          <x:t xml:space="preserve">Lebensmittel</x:t>
        </x:is>
      </x:c>
      <x:c r="F38" t="inlineStr">
        <x:is>
          <x:t xml:space="preserve">Trocken</x:t>
        </x:is>
      </x:c>
      <x:c r="G38" t="inlineStr">
        <x:is>
          <x:t xml:space="preserve">GartenZeit Pasta 8 Mini aus der Kategorie Lebensmittel/Trocken. Farbe: grau. Material: Aluminium. Gewicht: 0.251 kg.</x:t>
        </x:is>
      </x:c>
      <x:c r="H38" s="2" t="n">
        <x:v>311.9</x:v>
      </x:c>
      <x:c r="I38" s="3" t="n">
        <x:v>339.97</x:v>
      </x:c>
      <x:c r="J38" s="4" t="n">
        <x:v>1.09</x:v>
      </x:c>
      <x:c r="K38" s="5" t="n">
        <x:v>7</x:v>
      </x:c>
      <x:c r="L38" t="n">
        <x:v>96</x:v>
      </x:c>
      <x:c r="M38" s="4" t="n">
        <x:v>0.251</x:v>
      </x:c>
      <x:c r="N38" s="6" t="n">
        <x:v>20</x:v>
      </x:c>
      <x:c r="O38" s="6" t="n">
        <x:v>7.3</x:v>
      </x:c>
      <x:c r="P38" s="6" t="n">
        <x:v>12.9</x:v>
      </x:c>
      <x:c r="Q38" t="inlineStr">
        <x:is>
          <x:t xml:space="preserve">grau</x:t>
        </x:is>
      </x:c>
      <x:c r="R38" t="inlineStr">
        <x:is>
          <x:t xml:space="preserve">Aluminium</x:t>
        </x:is>
      </x:c>
      <x:c r="S38" t="n">
        <x:v>0</x:v>
      </x:c>
      <x:c r="T38" t="inlineStr">
        <x:is>
          <x:t xml:space="preserve"/>
        </x:is>
      </x:c>
      <x:c r="U38" t="inlineStr">
        <x:is>
          <x:t xml:space="preserve"/>
        </x:is>
      </x:c>
      <x:c r="V38" t="inlineStr">
        <x:is>
          <x:t xml:space="preserve"/>
        </x:is>
      </x:c>
      <x:c r="W38" t="inlineStr">
        <x:is>
          <x:t xml:space="preserve">2027-01-13</x:t>
        </x:is>
      </x:c>
      <x:c r="X38" t="inlineStr">
        <x:is>
          <x:t xml:space="preserve"/>
        </x:is>
      </x:c>
      <x:c r="Y38" t="inlineStr">
        <x:is>
          <x:t xml:space="preserve"/>
        </x:is>
      </x:c>
      <x:c r="Z38" t="inlineStr">
        <x:is>
          <x:t xml:space="preserve"/>
        </x:is>
      </x:c>
      <x:c r="AA38" t="inlineStr">
        <x:is>
          <x:t xml:space="preserve">CN</x:t>
        </x:is>
      </x:c>
      <x:c r="AB38" s="3">
        <x:f>IF(OR(ISBLANK(H38),ISBLANK(J38)),"",ROUND(H38*J38,2))</x:f>
        <x:v>339.97</x:v>
      </x:c>
      <x:c r="AC38" s="5">
        <x:f>IF(OR(ISBLANK(I38),ISBLANK(AB38),AB38=0),"",(I38-AB38)/AB38)</x:f>
        <x:v>0</x:v>
      </x:c>
      <x:c r="AD38">
        <x:f>IF(OR(ISBLANK(Y38),ISBLANK(Z38)),"",IF(Z38&gt;Y38,"FEHLER: offen &gt; gesamt","OK"))</x:f>
      </x:c>
    </x:row>
    <x:row r="39">
      <x:c r="A39" t="inlineStr">
        <x:is>
          <x:t xml:space="preserve">P10038</x:t>
        </x:is>
      </x:c>
      <x:c r="B39" t="inlineStr">
        <x:is>
          <x:t xml:space="preserve">SKU-IN4OLR6N</x:t>
        </x:is>
      </x:c>
      <x:c r="C39" t="inlineStr">
        <x:is>
          <x:t xml:space="preserve">GartenZeit</x:t>
        </x:is>
      </x:c>
      <x:c r="E39" t="inlineStr">
        <x:is>
          <x:t xml:space="preserve">Drogerie</x:t>
        </x:is>
      </x:c>
      <x:c r="F39" t="inlineStr">
        <x:is>
          <x:t xml:space="preserve">Körperpflege</x:t>
        </x:is>
      </x:c>
      <x:c r="G39" t="inlineStr">
        <x:is>
          <x:t xml:space="preserve">GartenZeit Shampoo 8 aus der Kategorie Drogerie/Körperpflege. Farbe: grün. Material: Edelstahl. Gewicht: 0.05 kg.</x:t>
        </x:is>
      </x:c>
      <x:c r="H39" s="2" t="n">
        <x:v>474.02</x:v>
      </x:c>
      <x:c r="I39" s="3" t="n">
        <x:v>237.01</x:v>
      </x:c>
      <x:c r="J39" s="4" t="n">
        <x:v>1.09</x:v>
      </x:c>
      <x:c r="K39" s="5" t="n">
        <x:v>19</x:v>
      </x:c>
      <x:c r="L39" t="n">
        <x:v>79</x:v>
      </x:c>
      <x:c r="M39" s="4" t="n">
        <x:v>0.05</x:v>
      </x:c>
      <x:c r="N39" s="6" t="n">
        <x:v>40.7</x:v>
      </x:c>
      <x:c r="O39" s="6" t="n">
        <x:v>1.5</x:v>
      </x:c>
      <x:c r="P39" s="6" t="n">
        <x:v>19.4</x:v>
      </x:c>
      <x:c r="Q39" t="inlineStr">
        <x:is>
          <x:t xml:space="preserve">grün</x:t>
        </x:is>
      </x:c>
      <x:c r="R39" t="inlineStr">
        <x:is>
          <x:t xml:space="preserve">Edelstahl</x:t>
        </x:is>
      </x:c>
      <x:c r="S39" t="n">
        <x:v>0</x:v>
      </x:c>
      <x:c r="T39" t="inlineStr">
        <x:is>
          <x:t xml:space="preserve"/>
        </x:is>
      </x:c>
      <x:c r="U39" t="inlineStr">
        <x:is>
          <x:t xml:space="preserve"/>
        </x:is>
      </x:c>
      <x:c r="V39" t="inlineStr">
        <x:is>
          <x:t xml:space="preserve"/>
        </x:is>
      </x:c>
      <x:c r="W39" t="inlineStr">
        <x:is>
          <x:t xml:space="preserve"/>
        </x:is>
      </x:c>
      <x:c r="X39" t="inlineStr">
        <x:is>
          <x:t xml:space="preserve"/>
        </x:is>
      </x:c>
      <x:c r="Y39" t="inlineStr">
        <x:is>
          <x:t xml:space="preserve"/>
        </x:is>
      </x:c>
      <x:c r="Z39" t="inlineStr">
        <x:is>
          <x:t xml:space="preserve"/>
        </x:is>
      </x:c>
      <x:c r="AA39" t="inlineStr">
        <x:is>
          <x:t xml:space="preserve">ES</x:t>
        </x:is>
      </x:c>
      <x:c r="AB39" s="3">
        <x:f>IF(OR(ISBLANK(H39),ISBLANK(J39)),"",ROUND(H39*J39,2))</x:f>
        <x:v>516.68</x:v>
      </x:c>
      <x:c r="AC39" s="5">
        <x:f>IF(OR(ISBLANK(I39),ISBLANK(AB39),AB39=0),"",(I39-AB39)/AB39)</x:f>
        <x:v>-0.5412828056050166</x:v>
      </x:c>
      <x:c r="AD39">
        <x:f>IF(OR(ISBLANK(Y39),ISBLANK(Z39)),"",IF(Z39&gt;Y39,"FEHLER: offen &gt; gesamt","OK"))</x:f>
      </x:c>
    </x:row>
    <x:row r="40">
      <x:c r="A40" t="inlineStr">
        <x:is>
          <x:t xml:space="preserve">P10039</x:t>
        </x:is>
      </x:c>
      <x:c r="B40" t="inlineStr">
        <x:is>
          <x:t xml:space="preserve">SKU-IN4OLR6N</x:t>
        </x:is>
      </x:c>
      <x:c r="C40" t="inlineStr">
        <x:is>
          <x:t xml:space="preserve">PolarGear</x:t>
        </x:is>
      </x:c>
      <x:c r="D40" t="inlineStr">
        <x:is>
          <x:t xml:space="preserve">PolarGear Gartenhaus 2 Mini</x:t>
        </x:is>
      </x:c>
      <x:c r="E40" t="inlineStr">
        <x:is>
          <x:t xml:space="preserve">Garten</x:t>
        </x:is>
      </x:c>
      <x:c r="F40" t="inlineStr">
        <x:is>
          <x:t xml:space="preserve">Gartenhaus</x:t>
        </x:is>
      </x:c>
      <x:c r="G40" t="inlineStr">
        <x:is>
          <x:t xml:space="preserve">PolarGear Gartenhaus 2 Mini aus der Kategorie Garten/Gartenhaus. Farbe: blau. Material: Baumwolle. Gewicht: 200.0 kg.</x:t>
        </x:is>
      </x:c>
      <x:c r="H40" s="2" t="n">
        <x:v>879.58</x:v>
      </x:c>
      <x:c r="I40" s="3" t="n">
        <x:v>958.74</x:v>
      </x:c>
      <x:c r="J40" s="4" t="n">
        <x:v>1.09</x:v>
      </x:c>
      <x:c r="K40" s="5" t="n">
        <x:v>19</x:v>
      </x:c>
      <x:c r="L40" t="n">
        <x:v>153</x:v>
      </x:c>
      <x:c r="M40" s="4" t="n">
        <x:v>200</x:v>
      </x:c>
      <x:c r="N40" s="6" t="n">
        <x:v>175</x:v>
      </x:c>
      <x:c r="O40" s="6" t="n">
        <x:v>275</x:v>
      </x:c>
      <x:c r="P40" s="6" t="n">
        <x:v>240</x:v>
      </x:c>
      <x:c r="Q40" t="inlineStr">
        <x:is>
          <x:t xml:space="preserve">blau</x:t>
        </x:is>
      </x:c>
      <x:c r="R40" t="inlineStr">
        <x:is>
          <x:t xml:space="preserve">Baumwolle</x:t>
        </x:is>
      </x:c>
      <x:c r="S40" t="n">
        <x:v>60</x:v>
      </x:c>
      <x:c r="T40" t="inlineStr">
        <x:is>
          <x:t xml:space="preserve"/>
        </x:is>
      </x:c>
      <x:c r="U40" t="inlineStr">
        <x:is>
          <x:t xml:space="preserve"/>
        </x:is>
      </x:c>
      <x:c r="V40" t="inlineStr">
        <x:is>
          <x:t xml:space="preserve"/>
        </x:is>
      </x:c>
      <x:c r="W40" t="inlineStr">
        <x:is>
          <x:t xml:space="preserve">2026-03-02</x:t>
        </x:is>
      </x:c>
      <x:c r="X40" t="inlineStr">
        <x:is>
          <x:t xml:space="preserve"/>
        </x:is>
      </x:c>
      <x:c r="Y40" t="n">
        <x:v>0</x:v>
      </x:c>
      <x:c r="Z40" t="n">
        <x:v>0</x:v>
      </x:c>
      <x:c r="AA40" t="inlineStr">
        <x:is>
          <x:t xml:space="preserve">NL</x:t>
        </x:is>
      </x:c>
      <x:c r="AB40" s="3">
        <x:f>IF(OR(ISBLANK(H40),ISBLANK(J40)),"",ROUND(H40*J40,2))</x:f>
        <x:v>958.74</x:v>
      </x:c>
      <x:c r="AC40" s="5">
        <x:f>IF(OR(ISBLANK(I40),ISBLANK(AB40),AB40=0),"",(I40-AB40)/AB40)</x:f>
        <x:v>0</x:v>
      </x:c>
      <x:c r="AD40">
        <x:f>IF(OR(ISBLANK(Y40),ISBLANK(Z40)),"",IF(Z40&gt;Y40,"FEHLER: offen &gt; gesamt","OK"))</x:f>
      </x:c>
    </x:row>
    <x:row r="41">
      <x:c r="A41" t="inlineStr">
        <x:is>
          <x:t xml:space="preserve">P10040</x:t>
        </x:is>
      </x:c>
      <x:c r="B41" t="inlineStr">
        <x:is>
          <x:t xml:space="preserve">SKU-MVXPJ4HN</x:t>
        </x:is>
      </x:c>
      <x:c r="C41" t="inlineStr">
        <x:is>
          <x:t xml:space="preserve">PolarGear</x:t>
        </x:is>
      </x:c>
      <x:c r="D41" t="inlineStr">
        <x:is>
          <x:t xml:space="preserve">PolarGear Holzbausteine 5</x:t>
        </x:is>
      </x:c>
      <x:c r="E41" t="inlineStr">
        <x:is>
          <x:t xml:space="preserve">Spielwaren</x:t>
        </x:is>
      </x:c>
      <x:c r="F41" t="inlineStr">
        <x:is>
          <x:t xml:space="preserve">0-3</x:t>
        </x:is>
      </x:c>
      <x:c r="G41" t="inlineStr">
        <x:is>
          <x:t xml:space="preserve">PolarGear Holzbausteine 5 aus der Kategorie Spielwaren/0-3. Farbe: blau. Material: Keramik. Gewicht: 0.557 kg.</x:t>
        </x:is>
      </x:c>
      <x:c r="H41" s="2" t="n">
        <x:v>808.37</x:v>
      </x:c>
      <x:c r="I41" s="3" t="n">
        <x:v>881.12</x:v>
      </x:c>
      <x:c r="J41" s="4" t="n">
        <x:v>1.09</x:v>
      </x:c>
      <x:c r="K41" s="5" t="n">
        <x:v>19</x:v>
      </x:c>
      <x:c r="L41" t="n">
        <x:v>483</x:v>
      </x:c>
      <x:c r="M41" s="4" t="n">
        <x:v>0.5570000000000001</x:v>
      </x:c>
      <x:c r="N41" s="6" t="n">
        <x:v>34.5</x:v>
      </x:c>
      <x:c r="O41" s="6" t="n">
        <x:v>14.4</x:v>
      </x:c>
      <x:c r="P41" s="6" t="n">
        <x:v>8.6</x:v>
      </x:c>
      <x:c r="Q41" t="inlineStr">
        <x:is>
          <x:t xml:space="preserve">blau</x:t>
        </x:is>
      </x:c>
      <x:c r="R41" t="inlineStr">
        <x:is>
          <x:t xml:space="preserve">Keramik</x:t>
        </x:is>
      </x:c>
      <x:c r="S41" t="n">
        <x:v>0</x:v>
      </x:c>
      <x:c r="T41" t="inlineStr">
        <x:is>
          <x:t xml:space="preserve"/>
        </x:is>
      </x:c>
      <x:c r="U41" t="inlineStr">
        <x:is>
          <x:t xml:space="preserve"/>
        </x:is>
      </x:c>
      <x:c r="V41" t="inlineStr">
        <x:is>
          <x:t xml:space="preserve"/>
        </x:is>
      </x:c>
      <x:c r="W41" t="inlineStr">
        <x:is>
          <x:t xml:space="preserve"/>
        </x:is>
      </x:c>
      <x:c r="X41" t="inlineStr">
        <x:is>
          <x:t xml:space="preserve">0+</x:t>
        </x:is>
      </x:c>
      <x:c r="Y41" t="inlineStr">
        <x:is>
          <x:t xml:space="preserve"/>
        </x:is>
      </x:c>
      <x:c r="Z41" t="inlineStr">
        <x:is>
          <x:t xml:space="preserve"/>
        </x:is>
      </x:c>
      <x:c r="AA41" t="inlineStr">
        <x:is>
          <x:t xml:space="preserve">NL</x:t>
        </x:is>
      </x:c>
      <x:c r="AB41" s="3">
        <x:f>IF(OR(ISBLANK(H41),ISBLANK(J41)),"",ROUND(H41*J41,2))</x:f>
        <x:v>881.12</x:v>
      </x:c>
      <x:c r="AC41" s="5">
        <x:f>IF(OR(ISBLANK(I41),ISBLANK(AB41),AB41=0),"",(I41-AB41)/AB41)</x:f>
        <x:v>0</x:v>
      </x:c>
      <x:c r="AD41">
        <x:f>IF(OR(ISBLANK(Y41),ISBLANK(Z41)),"",IF(Z41&gt;Y41,"FEHLER: offen &gt; gesamt","OK"))</x:f>
      </x:c>
    </x:row>
    <x:row r="42">
      <x:c r="A42" t="inlineStr">
        <x:is>
          <x:t xml:space="preserve">P10041</x:t>
        </x:is>
      </x:c>
      <x:c r="B42" t="inlineStr">
        <x:is>
          <x:t xml:space="preserve">SKU-0BVR6K2V</x:t>
        </x:is>
      </x:c>
      <x:c r="C42" t="inlineStr">
        <x:is>
          <x:t xml:space="preserve">GartenZeit</x:t>
        </x:is>
      </x:c>
      <x:c r="D42" t="inlineStr">
        <x:is>
          <x:t xml:space="preserve">GartenZeit Trinkflasche 5 XL</x:t>
        </x:is>
      </x:c>
      <x:c r="E42" t="inlineStr">
        <x:is>
          <x:t xml:space="preserve">Sport</x:t>
        </x:is>
      </x:c>
      <x:c r="F42" t="inlineStr">
        <x:is>
          <x:t xml:space="preserve">Outdoor</x:t>
        </x:is>
      </x:c>
      <x:c r="G42" t="inlineStr">
        <x:is>
          <x:t xml:space="preserve">GartenZeit Trinkflasche 5 XL aus der Kategorie Sport/Outdoor. Farbe: grün. Material: Leder. Gewicht: 1.587 kg.</x:t>
        </x:is>
      </x:c>
      <x:c r="H42" s="2" t="n">
        <x:v>22.17</x:v>
      </x:c>
      <x:c r="I42" s="3" t="n">
        <x:v>24.17</x:v>
      </x:c>
      <x:c r="J42" s="4" t="n">
        <x:v>1.09</x:v>
      </x:c>
      <x:c r="K42" s="5" t="n">
        <x:v>19</x:v>
      </x:c>
      <x:c r="L42" t="n">
        <x:v>398</x:v>
      </x:c>
      <x:c r="M42" s="4" t="n">
        <x:v>1.587</x:v>
      </x:c>
      <x:c r="N42" s="6" t="n">
        <x:v>8</x:v>
      </x:c>
      <x:c r="O42" s="6" t="n">
        <x:v>50</x:v>
      </x:c>
      <x:c r="P42" s="6" t="n">
        <x:v>11.2</x:v>
      </x:c>
      <x:c r="Q42" t="inlineStr">
        <x:is>
          <x:t xml:space="preserve">grün</x:t>
        </x:is>
      </x:c>
      <x:c r="R42" t="inlineStr">
        <x:is>
          <x:t xml:space="preserve">Leder</x:t>
        </x:is>
      </x:c>
      <x:c r="S42" t="n">
        <x:v>0</x:v>
      </x:c>
      <x:c r="T42" t="inlineStr">
        <x:is>
          <x:t xml:space="preserve"/>
        </x:is>
      </x:c>
      <x:c r="U42" t="inlineStr">
        <x:is>
          <x:t xml:space="preserve"/>
        </x:is>
      </x:c>
      <x:c r="V42" t="inlineStr">
        <x:is>
          <x:t xml:space="preserve"/>
        </x:is>
      </x:c>
      <x:c r="W42" t="inlineStr">
        <x:is>
          <x:t xml:space="preserve"/>
        </x:is>
      </x:c>
      <x:c r="X42" t="inlineStr">
        <x:is>
          <x:t xml:space="preserve"/>
        </x:is>
      </x:c>
      <x:c r="Y42" t="inlineStr">
        <x:is>
          <x:t xml:space="preserve"/>
        </x:is>
      </x:c>
      <x:c r="Z42" t="inlineStr">
        <x:is>
          <x:t xml:space="preserve"/>
        </x:is>
      </x:c>
      <x:c r="AA42" t="inlineStr">
        <x:is>
          <x:t xml:space="preserve">IT</x:t>
        </x:is>
      </x:c>
      <x:c r="AB42" s="3">
        <x:f>IF(OR(ISBLANK(H42),ISBLANK(J42)),"",ROUND(H42*J42,2))</x:f>
        <x:v>24.17</x:v>
      </x:c>
      <x:c r="AC42" s="5">
        <x:f>IF(OR(ISBLANK(I42),ISBLANK(AB42),AB42=0),"",(I42-AB42)/AB42)</x:f>
        <x:v>0</x:v>
      </x:c>
      <x:c r="AD42">
        <x:f>IF(OR(ISBLANK(Y42),ISBLANK(Z42)),"",IF(Z42&gt;Y42,"FEHLER: offen &gt; gesamt","OK"))</x:f>
      </x:c>
    </x:row>
    <x:row r="43">
      <x:c r="A43" t="inlineStr">
        <x:is>
          <x:t xml:space="preserve">P10042</x:t>
        </x:is>
      </x:c>
      <x:c r="B43" t="inlineStr">
        <x:is>
          <x:t xml:space="preserve">SKU-0BVR6K2V</x:t>
        </x:is>
      </x:c>
      <x:c r="C43" t="inlineStr">
        <x:is>
          <x:t xml:space="preserve">GartenZeit</x:t>
        </x:is>
      </x:c>
      <x:c r="D43" t="inlineStr">
        <x:is>
          <x:t xml:space="preserve">GartenZeit Akkuschere 2</x:t>
        </x:is>
      </x:c>
      <x:c r="E43" t="inlineStr">
        <x:is>
          <x:t xml:space="preserve">Garten</x:t>
        </x:is>
      </x:c>
      <x:c r="F43" t="inlineStr">
        <x:is>
          <x:t xml:space="preserve">Gartengeräte</x:t>
        </x:is>
      </x:c>
      <x:c r="G43" t="inlineStr">
        <x:is>
          <x:t xml:space="preserve">GartenZeit Akkuschere 2 aus der Kategorie Garten/Gartengeräte. Farbe: blau. Material: Aluminium. Gewicht: 0.219 kg.</x:t>
        </x:is>
      </x:c>
      <x:c r="H43" s="2" t="n">
        <x:v>279.46</x:v>
      </x:c>
      <x:c r="I43" s="3" t="n">
        <x:v>304.61</x:v>
      </x:c>
      <x:c r="J43" s="4" t="n">
        <x:v>1.09</x:v>
      </x:c>
      <x:c r="K43" s="5" t="n">
        <x:v>19</x:v>
      </x:c>
      <x:c r="L43" t="n">
        <x:v>151</x:v>
      </x:c>
      <x:c r="M43" s="4" t="n">
        <x:v>0.219</x:v>
      </x:c>
      <x:c r="N43" s="6" t="n">
        <x:v>42</x:v>
      </x:c>
      <x:c r="O43" s="6" t="n">
        <x:v>19.3</x:v>
      </x:c>
      <x:c r="P43" s="6" t="n">
        <x:v>4.8</x:v>
      </x:c>
      <x:c r="Q43" t="inlineStr">
        <x:is>
          <x:t xml:space="preserve">blau</x:t>
        </x:is>
      </x:c>
      <x:c r="R43" t="inlineStr">
        <x:is>
          <x:t xml:space="preserve">Aluminium</x:t>
        </x:is>
      </x:c>
      <x:c r="S43" t="n">
        <x:v>0</x:v>
      </x:c>
      <x:c r="T43" t="inlineStr">
        <x:is>
          <x:t xml:space="preserve"/>
        </x:is>
      </x:c>
      <x:c r="U43" t="inlineStr">
        <x:is>
          <x:t xml:space="preserve"/>
        </x:is>
      </x:c>
      <x:c r="V43" t="inlineStr">
        <x:is>
          <x:t xml:space="preserve"/>
        </x:is>
      </x:c>
      <x:c r="W43" t="inlineStr">
        <x:is>
          <x:t xml:space="preserve"/>
        </x:is>
      </x:c>
      <x:c r="X43" t="inlineStr">
        <x:is>
          <x:t xml:space="preserve"/>
        </x:is>
      </x:c>
      <x:c r="Y43" t="inlineStr">
        <x:is>
          <x:t xml:space="preserve"/>
        </x:is>
      </x:c>
      <x:c r="Z43" t="inlineStr">
        <x:is>
          <x:t xml:space="preserve"/>
        </x:is>
      </x:c>
      <x:c r="AA43" t="inlineStr">
        <x:is>
          <x:t xml:space="preserve">CN</x:t>
        </x:is>
      </x:c>
      <x:c r="AB43" s="3">
        <x:f>IF(OR(ISBLANK(H43),ISBLANK(J43)),"",ROUND(H43*J43,2))</x:f>
        <x:v>304.61</x:v>
      </x:c>
      <x:c r="AC43" s="5">
        <x:f>IF(OR(ISBLANK(I43),ISBLANK(AB43),AB43=0),"",(I43-AB43)/AB43)</x:f>
        <x:v>0</x:v>
      </x:c>
      <x:c r="AD43">
        <x:f>IF(OR(ISBLANK(Y43),ISBLANK(Z43)),"",IF(Z43&gt;Y43,"FEHLER: offen &gt; gesamt","OK"))</x:f>
      </x:c>
    </x:row>
    <x:row r="44">
      <x:c r="A44" t="inlineStr">
        <x:is>
          <x:t xml:space="preserve">P10043</x:t>
        </x:is>
      </x:c>
      <x:c r="B44" t="inlineStr">
        <x:is>
          <x:t xml:space="preserve">SKU-0BVR6K2V</x:t>
        </x:is>
      </x:c>
      <x:c r="C44" t="inlineStr">
        <x:is>
          <x:t xml:space="preserve">AlpenFit</x:t>
        </x:is>
      </x:c>
      <x:c r="D44" t="inlineStr">
        <x:is>
          <x:t xml:space="preserve">AlpenFit Puzzle 8</x:t>
        </x:is>
      </x:c>
      <x:c r="E44" t="inlineStr">
        <x:is>
          <x:t xml:space="preserve">Spielwaren</x:t>
        </x:is>
      </x:c>
      <x:c r="F44" t="inlineStr">
        <x:is>
          <x:t xml:space="preserve">4-8</x:t>
        </x:is>
      </x:c>
      <x:c r="G44" t="inlineStr">
        <x:is>
          <x:t xml:space="preserve">AlpenFit Puzzle 8 aus der Kategorie Spielwaren/4-8. Farbe: grün. Material: Edelstahl. Gewicht: 2.752 kg.</x:t>
        </x:is>
      </x:c>
      <x:c r="H44" s="2" t="n">
        <x:v>128.69</x:v>
      </x:c>
      <x:c r="I44" s="3" t="n">
        <x:v>140.27</x:v>
      </x:c>
      <x:c r="J44" s="4" t="n">
        <x:v>1.09</x:v>
      </x:c>
      <x:c r="K44" s="5" t="n">
        <x:v>19</x:v>
      </x:c>
      <x:c r="L44" t="n">
        <x:v>495</x:v>
      </x:c>
      <x:c r="M44" s="4" t="n">
        <x:v>2.752</x:v>
      </x:c>
      <x:c r="N44" s="6" t="n">
        <x:v>19.6</x:v>
      </x:c>
      <x:c r="O44" s="6" t="n">
        <x:v>13.2</x:v>
      </x:c>
      <x:c r="P44" s="6" t="n">
        <x:v>0.5</x:v>
      </x:c>
      <x:c r="Q44" t="inlineStr">
        <x:is>
          <x:t xml:space="preserve">grün</x:t>
        </x:is>
      </x:c>
      <x:c r="R44" t="inlineStr">
        <x:is>
          <x:t xml:space="preserve">Edelstahl</x:t>
        </x:is>
      </x:c>
      <x:c r="S44" t="n">
        <x:v>0</x:v>
      </x:c>
      <x:c r="T44" t="inlineStr">
        <x:is>
          <x:t xml:space="preserve"/>
        </x:is>
      </x:c>
      <x:c r="U44" t="inlineStr">
        <x:is>
          <x:t xml:space="preserve"/>
        </x:is>
      </x:c>
      <x:c r="V44" t="inlineStr">
        <x:is>
          <x:t xml:space="preserve"/>
        </x:is>
      </x:c>
      <x:c r="W44" t="inlineStr">
        <x:is>
          <x:t xml:space="preserve"/>
        </x:is>
      </x:c>
      <x:c r="X44" t="inlineStr">
        <x:is>
          <x:t xml:space="preserve">4+</x:t>
        </x:is>
      </x:c>
      <x:c r="Y44" t="inlineStr">
        <x:is>
          <x:t xml:space="preserve"/>
        </x:is>
      </x:c>
      <x:c r="Z44" t="inlineStr">
        <x:is>
          <x:t xml:space="preserve"/>
        </x:is>
      </x:c>
      <x:c r="AA44" t="inlineStr">
        <x:is>
          <x:t xml:space="preserve">TR</x:t>
        </x:is>
      </x:c>
      <x:c r="AB44" s="3">
        <x:f>IF(OR(ISBLANK(H44),ISBLANK(J44)),"",ROUND(H44*J44,2))</x:f>
        <x:v>140.27</x:v>
      </x:c>
      <x:c r="AC44" s="5">
        <x:f>IF(OR(ISBLANK(I44),ISBLANK(AB44),AB44=0),"",(I44-AB44)/AB44)</x:f>
        <x:v>0</x:v>
      </x:c>
      <x:c r="AD44">
        <x:f>IF(OR(ISBLANK(Y44),ISBLANK(Z44)),"",IF(Z44&gt;Y44,"FEHLER: offen &gt; gesamt","OK"))</x:f>
      </x:c>
    </x:row>
    <x:row r="45">
      <x:c r="A45" t="inlineStr">
        <x:is>
          <x:t xml:space="preserve">P10044</x:t>
        </x:is>
      </x:c>
      <x:c r="B45" t="inlineStr">
        <x:is>
          <x:t xml:space="preserve">SKU-36KOF8KR</x:t>
        </x:is>
      </x:c>
      <x:c r="C45" t="inlineStr">
        <x:is>
          <x:t xml:space="preserve">KüstenKlang</x:t>
        </x:is>
      </x:c>
      <x:c r="D45" t="inlineStr">
        <x:is>
          <x:t xml:space="preserve">KüstenKlang Schraubenset 8</x:t>
        </x:is>
      </x:c>
      <x:c r="E45" t="inlineStr">
        <x:is>
          <x:t xml:space="preserve">Baumarkt</x:t>
        </x:is>
      </x:c>
      <x:c r="F45" t="inlineStr">
        <x:is>
          <x:t xml:space="preserve">Schrauben &amp; Nägel</x:t>
        </x:is>
      </x:c>
      <x:c r="G45" t="inlineStr">
        <x:is>
          <x:t xml:space="preserve">KüstenKlang Schraubenset 8 aus der Kategorie Baumarkt/Schrauben &amp; Nägel. Farbe: weiß. Material: Baumwolle. Gewicht: 1.868 kg.</x:t>
        </x:is>
      </x:c>
      <x:c r="H45" s="2" t="n">
        <x:v>557.92</x:v>
      </x:c>
      <x:c r="I45" s="3" t="n">
        <x:v>608.13</x:v>
      </x:c>
      <x:c r="J45" s="4" t="n">
        <x:v>1.09</x:v>
      </x:c>
      <x:c r="K45" s="5" t="n">
        <x:v>19</x:v>
      </x:c>
      <x:c r="L45" t="n">
        <x:v>325</x:v>
      </x:c>
      <x:c r="M45" s="4" t="n">
        <x:v>1.868</x:v>
      </x:c>
      <x:c r="N45" s="6" t="n">
        <x:v>22.2</x:v>
      </x:c>
      <x:c r="O45" s="6" t="n">
        <x:v>3.3</x:v>
      </x:c>
      <x:c r="P45" s="6" t="n">
        <x:v>0.5</x:v>
      </x:c>
      <x:c r="Q45" t="inlineStr">
        <x:is>
          <x:t xml:space="preserve">weiß</x:t>
        </x:is>
      </x:c>
      <x:c r="R45" t="inlineStr">
        <x:is>
          <x:t xml:space="preserve">Baumwolle</x:t>
        </x:is>
      </x:c>
      <x:c r="S45" t="n">
        <x:v>24</x:v>
      </x:c>
      <x:c r="T45" t="inlineStr">
        <x:is>
          <x:t xml:space="preserve"/>
        </x:is>
      </x:c>
      <x:c r="U45" t="inlineStr">
        <x:is>
          <x:t xml:space="preserve"/>
        </x:is>
      </x:c>
      <x:c r="V45" t="inlineStr">
        <x:is>
          <x:t xml:space="preserve"/>
        </x:is>
      </x:c>
      <x:c r="W45" t="inlineStr">
        <x:is>
          <x:t xml:space="preserve"/>
        </x:is>
      </x:c>
      <x:c r="X45" t="inlineStr">
        <x:is>
          <x:t xml:space="preserve"/>
        </x:is>
      </x:c>
      <x:c r="Y45" t="inlineStr">
        <x:is>
          <x:t xml:space="preserve"/>
        </x:is>
      </x:c>
      <x:c r="Z45" t="inlineStr">
        <x:is>
          <x:t xml:space="preserve"/>
        </x:is>
      </x:c>
      <x:c r="AA45" t="inlineStr">
        <x:is>
          <x:t xml:space="preserve">PL</x:t>
        </x:is>
      </x:c>
      <x:c r="AB45" s="3">
        <x:f>IF(OR(ISBLANK(H45),ISBLANK(J45)),"",ROUND(H45*J45,2))</x:f>
        <x:v>608.13</x:v>
      </x:c>
      <x:c r="AC45" s="5">
        <x:f>IF(OR(ISBLANK(I45),ISBLANK(AB45),AB45=0),"",(I45-AB45)/AB45)</x:f>
        <x:v>0</x:v>
      </x:c>
      <x:c r="AD45">
        <x:f>IF(OR(ISBLANK(Y45),ISBLANK(Z45)),"",IF(Z45&gt;Y45,"FEHLER: offen &gt; gesamt","OK"))</x:f>
      </x:c>
    </x:row>
    <x:row r="46">
      <x:c r="A46" t="inlineStr">
        <x:is>
          <x:t xml:space="preserve">P10045</x:t>
        </x:is>
      </x:c>
      <x:c r="B46" t="inlineStr">
        <x:is>
          <x:t xml:space="preserve">SKU-7KYHQIN9</x:t>
        </x:is>
      </x:c>
      <x:c r="C46" t="inlineStr">
        <x:is>
          <x:t xml:space="preserve">HansaHome</x:t>
        </x:is>
      </x:c>
      <x:c r="D46" t="inlineStr">
        <x:is>
          <x:t xml:space="preserve">HansaHome Joghurt 6 Mini</x:t>
        </x:is>
      </x:c>
      <x:c r="E46" t="inlineStr">
        <x:is>
          <x:t xml:space="preserve">Lebensmittel</x:t>
        </x:is>
      </x:c>
      <x:c r="F46" t="inlineStr">
        <x:is>
          <x:t xml:space="preserve">Frische</x:t>
        </x:is>
      </x:c>
      <x:c r="G46" t="inlineStr">
        <x:is>
          <x:t xml:space="preserve">HansaHome Joghurt 6 Mini aus der Kategorie Lebensmittel/Frische. Farbe: gelb. Material: Keramik. Gewicht: 0.956 kg.</x:t>
        </x:is>
      </x:c>
      <x:c r="H46" s="2" t="n"/>
      <x:c r="I46" s="3" t="n">
        <x:v>576.66</x:v>
      </x:c>
      <x:c r="J46" s="4" t="n">
        <x:v>1.09</x:v>
      </x:c>
      <x:c r="K46" s="5" t="n">
        <x:v>7</x:v>
      </x:c>
      <x:c r="L46" t="n">
        <x:v>315</x:v>
      </x:c>
      <x:c r="M46" s="4" t="n">
        <x:v>0.956</x:v>
      </x:c>
      <x:c r="N46" s="6" t="n">
        <x:v>1</x:v>
      </x:c>
      <x:c r="O46" s="6" t="n">
        <x:v>4</x:v>
      </x:c>
      <x:c r="P46" s="6" t="n">
        <x:v>0.5</x:v>
      </x:c>
      <x:c r="Q46" t="inlineStr">
        <x:is>
          <x:t xml:space="preserve">gelb</x:t>
        </x:is>
      </x:c>
      <x:c r="R46" t="inlineStr">
        <x:is>
          <x:t xml:space="preserve">Keramik</x:t>
        </x:is>
      </x:c>
      <x:c r="S46" t="n">
        <x:v>0</x:v>
      </x:c>
      <x:c r="T46" t="inlineStr">
        <x:is>
          <x:t xml:space="preserve"/>
        </x:is>
      </x:c>
      <x:c r="U46" t="inlineStr">
        <x:is>
          <x:t xml:space="preserve"/>
        </x:is>
      </x:c>
      <x:c r="V46" t="inlineStr">
        <x:is>
          <x:t xml:space="preserve"/>
        </x:is>
      </x:c>
      <x:c r="W46" t="inlineStr">
        <x:is>
          <x:t xml:space="preserve">2026-08-17</x:t>
        </x:is>
      </x:c>
      <x:c r="X46" t="inlineStr">
        <x:is>
          <x:t xml:space="preserve"/>
        </x:is>
      </x:c>
      <x:c r="Y46" t="inlineStr">
        <x:is>
          <x:t xml:space="preserve"/>
        </x:is>
      </x:c>
      <x:c r="Z46" t="inlineStr">
        <x:is>
          <x:t xml:space="preserve"/>
        </x:is>
      </x:c>
      <x:c r="AA46" t="inlineStr">
        <x:is>
          <x:t xml:space="preserve">IT</x:t>
        </x:is>
      </x:c>
      <x:c r="AB46" s="3">
        <x:f>IF(OR(ISBLANK(H46),ISBLANK(J46)),"",ROUND(H46*J46,2))</x:f>
      </x:c>
      <x:c r="AC46" s="5">
        <x:f>IF(OR(ISBLANK(I46),ISBLANK(AB46),AB46=0),"",(I46-AB46)/AB46)</x:f>
      </x:c>
      <x:c r="AD46">
        <x:f>IF(OR(ISBLANK(Y46),ISBLANK(Z46)),"",IF(Z46&gt;Y46,"FEHLER: offen &gt; gesamt","OK"))</x:f>
      </x:c>
    </x:row>
    <x:row r="47">
      <x:c r="A47" t="inlineStr">
        <x:is>
          <x:t xml:space="preserve">P10046</x:t>
        </x:is>
      </x:c>
      <x:c r="B47" t="inlineStr">
        <x:is>
          <x:t xml:space="preserve">SKU-H3TV3I12</x:t>
        </x:is>
      </x:c>
      <x:c r="C47" t="inlineStr">
        <x:is>
          <x:t xml:space="preserve">Berg &amp; Tal</x:t>
        </x:is>
      </x:c>
      <x:c r="D47" t="inlineStr">
        <x:is>
          <x:t xml:space="preserve">Berg &amp; Tal Notebook 2 Mini</x:t>
        </x:is>
      </x:c>
      <x:c r="E47" t="inlineStr">
        <x:is>
          <x:t xml:space="preserve">Elektronik</x:t>
        </x:is>
      </x:c>
      <x:c r="F47" t="inlineStr">
        <x:is>
          <x:t xml:space="preserve">Computer</x:t>
        </x:is>
      </x:c>
      <x:c r="G47" t="inlineStr">
        <x:is>
          <x:t xml:space="preserve">Berg &amp; Tal Notebook 2 Mini aus der Kategorie Elektronik/Computer. Farbe: blau. Material: Baumwolle. Gewicht: 1.47 kg.</x:t>
        </x:is>
      </x:c>
      <x:c r="H47" s="2" t="n">
        <x:v>84.69</x:v>
      </x:c>
      <x:c r="I47" s="3" t="n">
        <x:v>92.31</x:v>
      </x:c>
      <x:c r="J47" s="4" t="n">
        <x:v>1.09</x:v>
      </x:c>
      <x:c r="K47" s="5" t="n">
        <x:v>19</x:v>
      </x:c>
      <x:c r="L47" t="n">
        <x:v>170</x:v>
      </x:c>
      <x:c r="M47" s="4" t="n">
        <x:v>1.47</x:v>
      </x:c>
      <x:c r="N47" s="6" t="n">
        <x:v>64.7</x:v>
      </x:c>
      <x:c r="O47" s="6" t="n">
        <x:v>24.8</x:v>
      </x:c>
      <x:c r="P47" s="6" t="n">
        <x:v>9.300000000000001</x:v>
      </x:c>
      <x:c r="Q47" t="inlineStr">
        <x:is>
          <x:t xml:space="preserve">blau</x:t>
        </x:is>
      </x:c>
      <x:c r="R47" t="inlineStr">
        <x:is>
          <x:t xml:space="preserve">Baumwolle</x:t>
        </x:is>
      </x:c>
      <x:c r="S47" t="n">
        <x:v>24</x:v>
      </x:c>
      <x:c r="T47" t="inlineStr">
        <x:is>
          <x:t xml:space="preserve">B</x:t>
        </x:is>
      </x:c>
      <x:c r="U47" t="n">
        <x:v>520</x:v>
      </x:c>
      <x:c r="V47" t="n">
        <x:v>230</x:v>
      </x:c>
      <x:c r="W47" t="inlineStr">
        <x:is>
          <x:t xml:space="preserve">2026-03-02</x:t>
        </x:is>
      </x:c>
      <x:c r="X47" t="inlineStr">
        <x:is>
          <x:t xml:space="preserve"/>
        </x:is>
      </x:c>
      <x:c r="Y47" t="inlineStr">
        <x:is>
          <x:t xml:space="preserve"/>
        </x:is>
      </x:c>
      <x:c r="Z47" t="inlineStr">
        <x:is>
          <x:t xml:space="preserve"/>
        </x:is>
      </x:c>
      <x:c r="AA47" t="inlineStr">
        <x:is>
          <x:t xml:space="preserve">DE</x:t>
        </x:is>
      </x:c>
      <x:c r="AB47" s="3">
        <x:f>IF(OR(ISBLANK(H47),ISBLANK(J47)),"",ROUND(H47*J47,2))</x:f>
        <x:v>92.31</x:v>
      </x:c>
      <x:c r="AC47" s="5">
        <x:f>IF(OR(ISBLANK(I47),ISBLANK(AB47),AB47=0),"",(I47-AB47)/AB47)</x:f>
        <x:v>0</x:v>
      </x:c>
      <x:c r="AD47">
        <x:f>IF(OR(ISBLANK(Y47),ISBLANK(Z47)),"",IF(Z47&gt;Y47,"FEHLER: offen &gt; gesamt","OK"))</x:f>
      </x:c>
    </x:row>
    <x:row r="48">
      <x:c r="A48" t="inlineStr">
        <x:is>
          <x:t xml:space="preserve">P10047</x:t>
        </x:is>
      </x:c>
      <x:c r="B48" t="inlineStr">
        <x:is>
          <x:t xml:space="preserve">SKU-EPECQNVQ</x:t>
        </x:is>
      </x:c>
      <x:c r="C48" t="inlineStr">
        <x:is>
          <x:t xml:space="preserve">FeinKost</x:t>
        </x:is>
      </x:c>
      <x:c r="D48" t="inlineStr">
        <x:is>
          <x:t xml:space="preserve">FeinKost Staubsaugerbeutel 2</x:t>
        </x:is>
      </x:c>
      <x:c r="E48" t="inlineStr">
        <x:is>
          <x:t xml:space="preserve">Haushalt</x:t>
        </x:is>
      </x:c>
      <x:c r="F48" t="inlineStr">
        <x:is>
          <x:t xml:space="preserve">Reinigung</x:t>
        </x:is>
      </x:c>
      <x:c r="H48" s="2" t="n">
        <x:v>120.66</x:v>
      </x:c>
      <x:c r="I48" s="3" t="n">
        <x:v>131.52</x:v>
      </x:c>
      <x:c r="J48" s="4" t="n">
        <x:v>1.09</x:v>
      </x:c>
      <x:c r="K48" s="5" t="n">
        <x:v>19</x:v>
      </x:c>
      <x:c r="L48" t="n">
        <x:v>135</x:v>
      </x:c>
      <x:c r="M48" s="4" t="n">
        <x:v>0.313</x:v>
      </x:c>
      <x:c r="N48" s="6" t="n">
        <x:v>64.3</x:v>
      </x:c>
      <x:c r="O48" s="6" t="n">
        <x:v>17.7</x:v>
      </x:c>
      <x:c r="P48" s="6" t="n">
        <x:v>8.9</x:v>
      </x:c>
      <x:c r="Q48" t="inlineStr">
        <x:is>
          <x:t xml:space="preserve">blau</x:t>
        </x:is>
      </x:c>
      <x:c r="R48" t="inlineStr">
        <x:is>
          <x:t xml:space="preserve">Aluminium</x:t>
        </x:is>
      </x:c>
      <x:c r="S48" t="n">
        <x:v>24</x:v>
      </x:c>
      <x:c r="T48" t="inlineStr">
        <x:is>
          <x:t xml:space="preserve">C</x:t>
        </x:is>
      </x:c>
      <x:c r="U48" t="inlineStr">
        <x:is>
          <x:t xml:space="preserve"/>
        </x:is>
      </x:c>
      <x:c r="V48" t="inlineStr">
        <x:is>
          <x:t xml:space="preserve"/>
        </x:is>
      </x:c>
      <x:c r="W48" t="inlineStr">
        <x:is>
          <x:t xml:space="preserve"/>
        </x:is>
      </x:c>
      <x:c r="X48" t="inlineStr">
        <x:is>
          <x:t xml:space="preserve"/>
        </x:is>
      </x:c>
      <x:c r="Y48" t="inlineStr">
        <x:is>
          <x:t xml:space="preserve"/>
        </x:is>
      </x:c>
      <x:c r="Z48" t="inlineStr">
        <x:is>
          <x:t xml:space="preserve"/>
        </x:is>
      </x:c>
      <x:c r="AA48" t="inlineStr">
        <x:is>
          <x:t xml:space="preserve">VN</x:t>
        </x:is>
      </x:c>
      <x:c r="AB48" s="3">
        <x:f>IF(OR(ISBLANK(H48),ISBLANK(J48)),"",ROUND(H48*J48,2))</x:f>
        <x:v>131.52</x:v>
      </x:c>
      <x:c r="AC48" s="5">
        <x:f>IF(OR(ISBLANK(I48),ISBLANK(AB48),AB48=0),"",(I48-AB48)/AB48)</x:f>
        <x:v>0</x:v>
      </x:c>
      <x:c r="AD48">
        <x:f>IF(OR(ISBLANK(Y48),ISBLANK(Z48)),"",IF(Z48&gt;Y48,"FEHLER: offen &gt; gesamt","OK"))</x:f>
      </x:c>
    </x:row>
    <x:row r="49">
      <x:c r="A49" t="inlineStr">
        <x:is>
          <x:t xml:space="preserve">P10048</x:t>
        </x:is>
      </x:c>
      <x:c r="B49" t="inlineStr">
        <x:is>
          <x:t xml:space="preserve">SKU-WTL9TQVD</x:t>
        </x:is>
      </x:c>
      <x:c r="C49" t="inlineStr">
        <x:is>
          <x:t xml:space="preserve">Nordlicht</x:t>
        </x:is>
      </x:c>
      <x:c r="D49" t="inlineStr">
        <x:is>
          <x:t xml:space="preserve">Nordlicht Bluetooth-Kopfhörer 7</x:t>
        </x:is>
      </x:c>
      <x:c r="F49" t="inlineStr">
        <x:is>
          <x:t xml:space="preserve">Audio</x:t>
        </x:is>
      </x:c>
      <x:c r="G49" t="inlineStr">
        <x:is>
          <x:t xml:space="preserve">Nordlicht Bluetooth-Kopfhörer 7 aus der Kategorie Elektronik/Audio. Farbe: grau. Material: Glas. Gewicht: 1.464 kg.</x:t>
        </x:is>
      </x:c>
      <x:c r="H49" s="2" t="n">
        <x:v>442.03</x:v>
      </x:c>
      <x:c r="I49" s="3" t="n">
        <x:v>481.81</x:v>
      </x:c>
      <x:c r="J49" s="4" t="n">
        <x:v>1.09</x:v>
      </x:c>
      <x:c r="K49" s="5" t="n">
        <x:v>19</x:v>
      </x:c>
      <x:c r="L49" t="n">
        <x:v>33</x:v>
      </x:c>
      <x:c r="M49" s="4" t="n">
        <x:v>1.464</x:v>
      </x:c>
      <x:c r="N49" s="6" t="n">
        <x:v>24.8</x:v>
      </x:c>
      <x:c r="O49" s="6" t="n">
        <x:v>37.9</x:v>
      </x:c>
      <x:c r="P49" s="6" t="n">
        <x:v>18</x:v>
      </x:c>
      <x:c r="Q49" t="inlineStr">
        <x:is>
          <x:t xml:space="preserve">grau</x:t>
        </x:is>
      </x:c>
      <x:c r="R49" t="inlineStr">
        <x:is>
          <x:t xml:space="preserve">Glas</x:t>
        </x:is>
      </x:c>
      <x:c r="S49" t="n">
        <x:v>24</x:v>
      </x:c>
      <x:c r="T49" t="inlineStr">
        <x:is>
          <x:t xml:space="preserve">B</x:t>
        </x:is>
      </x:c>
      <x:c r="U49" t="n">
        <x:v>1131</x:v>
      </x:c>
      <x:c r="V49" t="n">
        <x:v>230</x:v>
      </x:c>
      <x:c r="W49" t="inlineStr">
        <x:is>
          <x:t xml:space="preserve"/>
        </x:is>
      </x:c>
      <x:c r="X49" t="inlineStr">
        <x:is>
          <x:t xml:space="preserve"/>
        </x:is>
      </x:c>
      <x:c r="Y49" t="inlineStr">
        <x:is>
          <x:t xml:space="preserve"/>
        </x:is>
      </x:c>
      <x:c r="Z49" t="inlineStr">
        <x:is>
          <x:t xml:space="preserve"/>
        </x:is>
      </x:c>
      <x:c r="AA49" t="inlineStr">
        <x:is>
          <x:t xml:space="preserve">PL</x:t>
        </x:is>
      </x:c>
      <x:c r="AB49" s="3">
        <x:f>IF(OR(ISBLANK(H49),ISBLANK(J49)),"",ROUND(H49*J49,2))</x:f>
        <x:v>481.81</x:v>
      </x:c>
      <x:c r="AC49" s="5">
        <x:f>IF(OR(ISBLANK(I49),ISBLANK(AB49),AB49=0),"",(I49-AB49)/AB49)</x:f>
        <x:v>0</x:v>
      </x:c>
      <x:c r="AD49">
        <x:f>IF(OR(ISBLANK(Y49),ISBLANK(Z49)),"",IF(Z49&gt;Y49,"FEHLER: offen &gt; gesamt","OK"))</x:f>
      </x:c>
    </x:row>
    <x:row r="50">
      <x:c r="A50" t="inlineStr">
        <x:is>
          <x:t xml:space="preserve">P10049</x:t>
        </x:is>
      </x:c>
      <x:c r="B50" t="inlineStr">
        <x:is>
          <x:t xml:space="preserve">SKU-YRDDP0NE</x:t>
        </x:is>
      </x:c>
      <x:c r="C50" t="inlineStr">
        <x:is>
          <x:t xml:space="preserve">MünsterWerk</x:t>
        </x:is>
      </x:c>
      <x:c r="D50" t="inlineStr">
        <x:is>
          <x:t xml:space="preserve">MünsterWerk Holzbausteine 8 Mini</x:t>
        </x:is>
      </x:c>
      <x:c r="E50" t="inlineStr">
        <x:is>
          <x:t xml:space="preserve">Spielwaren</x:t>
        </x:is>
      </x:c>
      <x:c r="F50" t="inlineStr">
        <x:is>
          <x:t xml:space="preserve">0-3</x:t>
        </x:is>
      </x:c>
      <x:c r="G50" t="inlineStr">
        <x:is>
          <x:t xml:space="preserve">MünsterWerk Holzbausteine 8 Mini aus der Kategorie Spielwaren/0-3. Farbe: gelb. Material: Holz. Gewicht: 1.898 kg.</x:t>
        </x:is>
      </x:c>
      <x:c r="H50" s="2" t="n">
        <x:v>375.43</x:v>
      </x:c>
      <x:c r="I50" s="3" t="n">
        <x:v>409.22</x:v>
      </x:c>
      <x:c r="J50" s="4" t="n">
        <x:v>1.09</x:v>
      </x:c>
      <x:c r="K50" s="5" t="n">
        <x:v>19</x:v>
      </x:c>
      <x:c r="L50" t="n">
        <x:v>78</x:v>
      </x:c>
      <x:c r="M50" s="4" t="n">
        <x:v>1.898</x:v>
      </x:c>
      <x:c r="N50" s="6" t="n">
        <x:v>44.8</x:v>
      </x:c>
      <x:c r="O50" s="6" t="n">
        <x:v>12.6</x:v>
      </x:c>
      <x:c r="P50" s="6" t="n">
        <x:v>0.5</x:v>
      </x:c>
      <x:c r="Q50" t="inlineStr">
        <x:is>
          <x:t xml:space="preserve">gelb</x:t>
        </x:is>
      </x:c>
      <x:c r="R50" t="inlineStr">
        <x:is>
          <x:t xml:space="preserve">Holz</x:t>
        </x:is>
      </x:c>
      <x:c r="S50" t="n">
        <x:v>0</x:v>
      </x:c>
      <x:c r="T50" t="inlineStr">
        <x:is>
          <x:t xml:space="preserve">C</x:t>
        </x:is>
      </x:c>
      <x:c r="U50" t="inlineStr">
        <x:is>
          <x:t xml:space="preserve"/>
        </x:is>
      </x:c>
      <x:c r="V50" t="inlineStr">
        <x:is>
          <x:t xml:space="preserve"/>
        </x:is>
      </x:c>
      <x:c r="W50" t="inlineStr">
        <x:is>
          <x:t xml:space="preserve"/>
        </x:is>
      </x:c>
      <x:c r="X50" t="inlineStr">
        <x:is>
          <x:t xml:space="preserve">0+</x:t>
        </x:is>
      </x:c>
      <x:c r="Y50" t="inlineStr">
        <x:is>
          <x:t xml:space="preserve"/>
        </x:is>
      </x:c>
      <x:c r="Z50" t="inlineStr">
        <x:is>
          <x:t xml:space="preserve"/>
        </x:is>
      </x:c>
      <x:c r="AA50" t="inlineStr">
        <x:is>
          <x:t xml:space="preserve">DE</x:t>
        </x:is>
      </x:c>
      <x:c r="AB50" s="3">
        <x:f>IF(OR(ISBLANK(H50),ISBLANK(J50)),"",ROUND(H50*J50,2))</x:f>
        <x:v>409.22</x:v>
      </x:c>
      <x:c r="AC50" s="5">
        <x:f>IF(OR(ISBLANK(I50),ISBLANK(AB50),AB50=0),"",(I50-AB50)/AB50)</x:f>
        <x:v>0</x:v>
      </x:c>
      <x:c r="AD50">
        <x:f>IF(OR(ISBLANK(Y50),ISBLANK(Z50)),"",IF(Z50&gt;Y50,"FEHLER: offen &gt; gesamt","OK"))</x:f>
      </x:c>
    </x:row>
    <x:row r="51">
      <x:c r="A51" t="inlineStr">
        <x:is>
          <x:t xml:space="preserve">P10050</x:t>
        </x:is>
      </x:c>
      <x:c r="B51" t="inlineStr">
        <x:is>
          <x:t xml:space="preserve">SKU-YRDDP0NE</x:t>
        </x:is>
      </x:c>
      <x:c r="C51" t="inlineStr">
        <x:is>
          <x:t xml:space="preserve">PolarGear</x:t>
        </x:is>
      </x:c>
      <x:c r="D51" t="inlineStr">
        <x:is>
          <x:t xml:space="preserve">PolarGear Jeans 6 Mini</x:t>
        </x:is>
      </x:c>
      <x:c r="E51" t="inlineStr">
        <x:is>
          <x:t xml:space="preserve">Bekleidung</x:t>
        </x:is>
      </x:c>
      <x:c r="F51" t="inlineStr">
        <x:is>
          <x:t xml:space="preserve">Herren</x:t>
        </x:is>
      </x:c>
      <x:c r="G51" t="inlineStr">
        <x:is>
          <x:t xml:space="preserve">PolarGear Jeans 6 Mini aus der Kategorie Bekleidung/Herren. Farbe: weiß. Material: Glas. Gewicht: 0.82 kg.</x:t>
        </x:is>
      </x:c>
      <x:c r="H51" s="2" t="n">
        <x:v>780.74</x:v>
      </x:c>
      <x:c r="I51" s="3" t="n">
        <x:v>851.01</x:v>
      </x:c>
      <x:c r="J51" s="4" t="n">
        <x:v>1.09</x:v>
      </x:c>
      <x:c r="K51" s="5" t="n">
        <x:v>19</x:v>
      </x:c>
      <x:c r="L51" t="n">
        <x:v>295</x:v>
      </x:c>
      <x:c r="M51" s="4" t="n">
        <x:v>0.82</x:v>
      </x:c>
      <x:c r="N51" s="6" t="n">
        <x:v>1</x:v>
      </x:c>
      <x:c r="O51" s="6" t="n">
        <x:v>8.699999999999999</x:v>
      </x:c>
      <x:c r="P51" s="6" t="n">
        <x:v>3.4</x:v>
      </x:c>
      <x:c r="Q51" t="inlineStr">
        <x:is>
          <x:t xml:space="preserve">weiß</x:t>
        </x:is>
      </x:c>
      <x:c r="R51" t="inlineStr">
        <x:is>
          <x:t xml:space="preserve">Glas</x:t>
        </x:is>
      </x:c>
      <x:c r="S51" t="n">
        <x:v>0</x:v>
      </x:c>
      <x:c r="T51" t="inlineStr">
        <x:is>
          <x:t xml:space="preserve">C</x:t>
        </x:is>
      </x:c>
      <x:c r="U51" t="inlineStr">
        <x:is>
          <x:t xml:space="preserve"/>
        </x:is>
      </x:c>
      <x:c r="V51" t="inlineStr">
        <x:is>
          <x:t xml:space="preserve"/>
        </x:is>
      </x:c>
      <x:c r="W51" t="inlineStr">
        <x:is>
          <x:t xml:space="preserve"/>
        </x:is>
      </x:c>
      <x:c r="X51" t="inlineStr">
        <x:is>
          <x:t xml:space="preserve"/>
        </x:is>
      </x:c>
      <x:c r="Y51" t="inlineStr">
        <x:is>
          <x:t xml:space="preserve"/>
        </x:is>
      </x:c>
      <x:c r="Z51" t="inlineStr">
        <x:is>
          <x:t xml:space="preserve"/>
        </x:is>
      </x:c>
      <x:c r="AA51" t="inlineStr">
        <x:is>
          <x:t xml:space="preserve">VN</x:t>
        </x:is>
      </x:c>
      <x:c r="AB51" s="3">
        <x:f>IF(OR(ISBLANK(H51),ISBLANK(J51)),"",ROUND(H51*J51,2))</x:f>
      </x:c>
      <x:c r="AC51" s="5">
        <x:f>IF(OR(ISBLANK(I51),ISBLANK(AB51),AB51=0),"",(I51-AB51)/AB51)</x:f>
      </x:c>
      <x:c r="AD51">
        <x:f>IF(OR(ISBLANK(Y51),ISBLANK(Z51)),"",IF(Z51&gt;Y51,"FEHLER: offen &gt; gesamt","OK"))</x:f>
      </x:c>
    </x:row>
    <x:row r="52">
      <x:c r="A52" t="inlineStr">
        <x:is>
          <x:t xml:space="preserve">P10051</x:t>
        </x:is>
      </x:c>
      <x:c r="B52" t="inlineStr">
        <x:is>
          <x:t xml:space="preserve">SKU-XC08DTNQ</x:t>
        </x:is>
      </x:c>
      <x:c r="C52" t="inlineStr">
        <x:is>
          <x:t xml:space="preserve">PolarGear</x:t>
        </x:is>
      </x:c>
      <x:c r="D52" t="inlineStr">
        <x:is>
          <x:t xml:space="preserve">PolarGear Bohrmaschine 5</x:t>
        </x:is>
      </x:c>
      <x:c r="E52" t="inlineStr">
        <x:is>
          <x:t xml:space="preserve">Baumarkt</x:t>
        </x:is>
      </x:c>
      <x:c r="F52" t="inlineStr">
        <x:is>
          <x:t xml:space="preserve">Werkzeug</x:t>
        </x:is>
      </x:c>
      <x:c r="G52" t="inlineStr">
        <x:is>
          <x:t xml:space="preserve">PolarGear Bohrmaschine 5 aus der Kategorie Baumarkt/Werkzeug. Farbe: beige. Material: Kunststoff. Gewicht: 0.999 kg.</x:t>
        </x:is>
      </x:c>
      <x:c r="H52" s="2" t="n"/>
      <x:c r="I52" s="3" t="n">
        <x:v>179.02</x:v>
      </x:c>
      <x:c r="J52" s="4" t="n">
        <x:v>1.09</x:v>
      </x:c>
      <x:c r="K52" s="5" t="n">
        <x:v>19</x:v>
      </x:c>
      <x:c r="L52" t="n">
        <x:v>445</x:v>
      </x:c>
      <x:c r="M52" s="4" t="n">
        <x:v>0.999</x:v>
      </x:c>
      <x:c r="N52" s="6" t="n">
        <x:v>9.4</x:v>
      </x:c>
      <x:c r="O52" s="6" t="n">
        <x:v>19.1</x:v>
      </x:c>
      <x:c r="P52" s="6" t="n">
        <x:v>11.1</x:v>
      </x:c>
      <x:c r="Q52" t="inlineStr">
        <x:is>
          <x:t xml:space="preserve">beige</x:t>
        </x:is>
      </x:c>
      <x:c r="R52" t="inlineStr">
        <x:is>
          <x:t xml:space="preserve">Kunststoff</x:t>
        </x:is>
      </x:c>
      <x:c r="S52" t="n">
        <x:v>24</x:v>
      </x:c>
      <x:c r="T52" t="inlineStr">
        <x:is>
          <x:t xml:space="preserve"/>
        </x:is>
      </x:c>
      <x:c r="U52" t="n">
        <x:v>591</x:v>
      </x:c>
      <x:c r="V52" t="n">
        <x:v>230</x:v>
      </x:c>
      <x:c r="W52" t="inlineStr">
        <x:is>
          <x:t xml:space="preserve"/>
        </x:is>
      </x:c>
      <x:c r="X52" t="inlineStr">
        <x:is>
          <x:t xml:space="preserve"/>
        </x:is>
      </x:c>
      <x:c r="Y52" t="inlineStr">
        <x:is>
          <x:t xml:space="preserve"/>
        </x:is>
      </x:c>
      <x:c r="Z52" t="inlineStr">
        <x:is>
          <x:t xml:space="preserve"/>
        </x:is>
      </x:c>
      <x:c r="AA52" t="inlineStr">
        <x:is>
          <x:t xml:space="preserve">CN</x:t>
        </x:is>
      </x:c>
      <x:c r="AB52" s="3">
        <x:f>IF(OR(ISBLANK(H52),ISBLANK(J52)),"",ROUND(H52*J52,2))</x:f>
      </x:c>
      <x:c r="AC52" s="5">
        <x:f>IF(OR(ISBLANK(I52),ISBLANK(AB52),AB52=0),"",(I52-AB52)/AB52)</x:f>
      </x:c>
      <x:c r="AD52">
        <x:f>IF(OR(ISBLANK(Y52),ISBLANK(Z52)),"",IF(Z52&gt;Y52,"FEHLER: offen &gt; gesamt","OK"))</x:f>
      </x:c>
    </x:row>
    <x:row r="53">
      <x:c r="A53" t="inlineStr">
        <x:is>
          <x:t xml:space="preserve">P10052</x:t>
        </x:is>
      </x:c>
      <x:c r="B53" t="inlineStr">
        <x:is>
          <x:t xml:space="preserve">SKU-OHSMDYVS</x:t>
        </x:is>
      </x:c>
      <x:c r="C53" t="inlineStr">
        <x:is>
          <x:t xml:space="preserve">GartenZeit</x:t>
        </x:is>
      </x:c>
      <x:c r="D53" t="inlineStr">
        <x:is>
          <x:t xml:space="preserve">GartenZeit Pasta 3 Pro</x:t>
        </x:is>
      </x:c>
      <x:c r="E53" t="inlineStr">
        <x:is>
          <x:t xml:space="preserve">Lebensmittel</x:t>
        </x:is>
      </x:c>
      <x:c r="F53" t="inlineStr">
        <x:is>
          <x:t xml:space="preserve">Trocken</x:t>
        </x:is>
      </x:c>
      <x:c r="G53" t="inlineStr">
        <x:is>
          <x:t xml:space="preserve">GartenZeit Pasta 3 Pro aus der Kategorie Lebensmittel/Trocken. Farbe: weiß. Material: Kunststoff. Gewicht: 1.514 kg.</x:t>
        </x:is>
      </x:c>
      <x:c r="H53" s="2" t="n">
        <x:v>678.85</x:v>
      </x:c>
      <x:c r="I53" s="3" t="n">
        <x:v>739.95</x:v>
      </x:c>
      <x:c r="J53" s="4" t="n">
        <x:v>1.09</x:v>
      </x:c>
      <x:c r="K53" s="5" t="n">
        <x:v>7</x:v>
      </x:c>
      <x:c r="L53" t="n">
        <x:v>310</x:v>
      </x:c>
      <x:c r="M53" s="4" t="n">
        <x:v>1.514</x:v>
      </x:c>
      <x:c r="N53" s="6" t="n">
        <x:v>33.2</x:v>
      </x:c>
      <x:c r="O53" s="6" t="n">
        <x:v>5.2</x:v>
      </x:c>
      <x:c r="P53" s="6" t="n">
        <x:v>14.4</x:v>
      </x:c>
      <x:c r="Q53" t="inlineStr">
        <x:is>
          <x:t xml:space="preserve">weiß</x:t>
        </x:is>
      </x:c>
      <x:c r="R53" t="inlineStr">
        <x:is>
          <x:t xml:space="preserve">Kunststoff</x:t>
        </x:is>
      </x:c>
      <x:c r="S53" t="n">
        <x:v>0</x:v>
      </x:c>
      <x:c r="T53" t="inlineStr">
        <x:is>
          <x:t xml:space="preserve"/>
        </x:is>
      </x:c>
      <x:c r="U53" t="inlineStr">
        <x:is>
          <x:t xml:space="preserve"/>
        </x:is>
      </x:c>
      <x:c r="V53" t="inlineStr">
        <x:is>
          <x:t xml:space="preserve"/>
        </x:is>
      </x:c>
      <x:c r="W53" t="inlineStr">
        <x:is>
          <x:t xml:space="preserve">2026-09-04</x:t>
        </x:is>
      </x:c>
      <x:c r="X53" t="inlineStr">
        <x:is>
          <x:t xml:space="preserve"/>
        </x:is>
      </x:c>
      <x:c r="Y53" t="inlineStr">
        <x:is>
          <x:t xml:space="preserve"/>
        </x:is>
      </x:c>
      <x:c r="Z53" t="inlineStr">
        <x:is>
          <x:t xml:space="preserve"/>
        </x:is>
      </x:c>
      <x:c r="AA53" t="inlineStr">
        <x:is>
          <x:t xml:space="preserve">TR</x:t>
        </x:is>
      </x:c>
      <x:c r="AB53" s="3">
        <x:f>IF(OR(ISBLANK(H53),ISBLANK(J53)),"",ROUND(H53*J53,2))</x:f>
      </x:c>
      <x:c r="AC53" s="5">
        <x:f>IF(OR(ISBLANK(I53),ISBLANK(AB53),AB53=0),"",(I53-AB53)/AB53)</x:f>
      </x:c>
      <x:c r="AD53">
        <x:f>IF(OR(ISBLANK(Y53),ISBLANK(Z53)),"",IF(Z53&gt;Y53,"FEHLER: offen &gt; gesamt","OK"))</x:f>
      </x:c>
    </x:row>
    <x:row r="54">
      <x:c r="A54" t="inlineStr">
        <x:is>
          <x:t xml:space="preserve">P10053</x:t>
        </x:is>
      </x:c>
      <x:c r="B54" t="inlineStr">
        <x:is>
          <x:t xml:space="preserve">SKU-0GNZS43C</x:t>
        </x:is>
      </x:c>
      <x:c r="C54" t="inlineStr">
        <x:is>
          <x:t xml:space="preserve">GartenZeit</x:t>
        </x:is>
      </x:c>
      <x:c r="D54" t="inlineStr">
        <x:is>
          <x:t xml:space="preserve">GartenZeit Trinkflasche 4 XL</x:t>
        </x:is>
      </x:c>
      <x:c r="E54" t="inlineStr">
        <x:is>
          <x:t xml:space="preserve">Sport</x:t>
        </x:is>
      </x:c>
      <x:c r="F54" t="inlineStr">
        <x:is>
          <x:t xml:space="preserve">Outdoor</x:t>
        </x:is>
      </x:c>
      <x:c r="G54" t="inlineStr">
        <x:is>
          <x:t xml:space="preserve">GartenZeit Trinkflasche 4 XL aus der Kategorie Sport/Outdoor. Farbe: schwarz. Material: Kunststoff. Gewicht: 1.348 kg.</x:t>
        </x:is>
      </x:c>
      <x:c r="H54" s="2" t="n">
        <x:v>849.98</x:v>
      </x:c>
      <x:c r="I54" s="3" t="n">
        <x:v>424.99</x:v>
      </x:c>
      <x:c r="J54" s="4" t="n">
        <x:v>1.09</x:v>
      </x:c>
      <x:c r="K54" s="5" t="n">
        <x:v>19</x:v>
      </x:c>
      <x:c r="L54" t="n">
        <x:v>254</x:v>
      </x:c>
      <x:c r="M54" s="4" t="n">
        <x:v>1.348</x:v>
      </x:c>
      <x:c r="N54" s="6" t="n">
        <x:v>1</x:v>
      </x:c>
      <x:c r="O54" s="6" t="n">
        <x:v>18.1</x:v>
      </x:c>
      <x:c r="P54" s="6" t="n">
        <x:v>15.9</x:v>
      </x:c>
      <x:c r="Q54" t="inlineStr">
        <x:is>
          <x:t xml:space="preserve">schwarz</x:t>
        </x:is>
      </x:c>
      <x:c r="R54" t="inlineStr">
        <x:is>
          <x:t xml:space="preserve">Kunststoff</x:t>
        </x:is>
      </x:c>
      <x:c r="S54" t="n">
        <x:v>0</x:v>
      </x:c>
      <x:c r="T54" t="inlineStr">
        <x:is>
          <x:t xml:space="preserve"/>
        </x:is>
      </x:c>
      <x:c r="U54" t="inlineStr">
        <x:is>
          <x:t xml:space="preserve"/>
        </x:is>
      </x:c>
      <x:c r="V54" t="inlineStr">
        <x:is>
          <x:t xml:space="preserve"/>
        </x:is>
      </x:c>
      <x:c r="W54" t="inlineStr">
        <x:is>
          <x:t xml:space="preserve"/>
        </x:is>
      </x:c>
      <x:c r="X54" t="inlineStr">
        <x:is>
          <x:t xml:space="preserve"/>
        </x:is>
      </x:c>
      <x:c r="Y54" t="inlineStr">
        <x:is>
          <x:t xml:space="preserve"/>
        </x:is>
      </x:c>
      <x:c r="Z54" t="inlineStr">
        <x:is>
          <x:t xml:space="preserve"/>
        </x:is>
      </x:c>
      <x:c r="AA54" t="inlineStr">
        <x:is>
          <x:t xml:space="preserve">DE</x:t>
        </x:is>
      </x:c>
      <x:c r="AB54" s="3">
        <x:f>IF(OR(ISBLANK(H54),ISBLANK(J54)),"",ROUND(H54*J54,2))</x:f>
      </x:c>
      <x:c r="AC54" s="5">
        <x:f>IF(OR(ISBLANK(I54),ISBLANK(AB54),AB54=0),"",(I54-AB54)/AB54)</x:f>
      </x:c>
      <x:c r="AD54">
        <x:f>IF(OR(ISBLANK(Y54),ISBLANK(Z54)),"",IF(Z54&gt;Y54,"FEHLER: offen &gt; gesamt","OK"))</x:f>
      </x:c>
    </x:row>
    <x:row r="55">
      <x:c r="A55" t="inlineStr">
        <x:is>
          <x:t xml:space="preserve">P10054</x:t>
        </x:is>
      </x:c>
      <x:c r="B55" t="inlineStr">
        <x:is>
          <x:t xml:space="preserve">SKU-37D4IVSO</x:t>
        </x:is>
      </x:c>
      <x:c r="C55" t="inlineStr">
        <x:is>
          <x:t xml:space="preserve">GartenZeit</x:t>
        </x:is>
      </x:c>
      <x:c r="D55" t="inlineStr">
        <x:is>
          <x:t xml:space="preserve">GartenZeit Jeans 7 Mini</x:t>
        </x:is>
      </x:c>
      <x:c r="E55" t="inlineStr">
        <x:is>
          <x:t xml:space="preserve">Bekleidung</x:t>
        </x:is>
      </x:c>
      <x:c r="F55" t="inlineStr">
        <x:is>
          <x:t xml:space="preserve">Herren</x:t>
        </x:is>
      </x:c>
      <x:c r="G55" t="inlineStr">
        <x:is>
          <x:t xml:space="preserve">GartenZeit Jeans 7 Mini aus der Kategorie Bekleidung/Herren. Farbe: gelb. Material: Leder. Gewicht: 0.05 kg.</x:t>
        </x:is>
      </x:c>
      <x:c r="H55" s="2" t="n">
        <x:v>262.05</x:v>
      </x:c>
      <x:c r="I55" s="3" t="n">
        <x:v>285.63</x:v>
      </x:c>
      <x:c r="J55" s="4" t="n">
        <x:v>1.09</x:v>
      </x:c>
      <x:c r="K55" s="5" t="n">
        <x:v>19</x:v>
      </x:c>
      <x:c r="L55" t="n">
        <x:v>235</x:v>
      </x:c>
      <x:c r="M55" s="4" t="n">
        <x:v>0.05</x:v>
      </x:c>
      <x:c r="N55" s="6" t="n">
        <x:v>0.001</x:v>
      </x:c>
      <x:c r="O55" s="6" t="n">
        <x:v>37.2</x:v>
      </x:c>
      <x:c r="P55" s="6" t="n">
        <x:v>35.7</x:v>
      </x:c>
      <x:c r="Q55" t="inlineStr">
        <x:is>
          <x:t xml:space="preserve">gelb</x:t>
        </x:is>
      </x:c>
      <x:c r="R55" t="inlineStr">
        <x:is>
          <x:t xml:space="preserve">Leder</x:t>
        </x:is>
      </x:c>
      <x:c r="S55" t="n">
        <x:v>0</x:v>
      </x:c>
      <x:c r="T55" t="inlineStr">
        <x:is>
          <x:t xml:space="preserve"/>
        </x:is>
      </x:c>
      <x:c r="U55" t="inlineStr">
        <x:is>
          <x:t xml:space="preserve"/>
        </x:is>
      </x:c>
      <x:c r="V55" t="inlineStr">
        <x:is>
          <x:t xml:space="preserve"/>
        </x:is>
      </x:c>
      <x:c r="W55" t="inlineStr">
        <x:is>
          <x:t xml:space="preserve">2026-03-02</x:t>
        </x:is>
      </x:c>
      <x:c r="X55" t="inlineStr">
        <x:is>
          <x:t xml:space="preserve"/>
        </x:is>
      </x:c>
      <x:c r="Y55" t="inlineStr">
        <x:is>
          <x:t xml:space="preserve"/>
        </x:is>
      </x:c>
      <x:c r="Z55" t="inlineStr">
        <x:is>
          <x:t xml:space="preserve"/>
        </x:is>
      </x:c>
      <x:c r="AA55" t="inlineStr">
        <x:is>
          <x:t xml:space="preserve">TR</x:t>
        </x:is>
      </x:c>
      <x:c r="AB55" s="3">
        <x:f>IF(OR(ISBLANK(H55),ISBLANK(J55)),"",ROUND(H55*J55,2))</x:f>
      </x:c>
      <x:c r="AC55" s="5">
        <x:f>IF(OR(ISBLANK(I55),ISBLANK(AB55),AB55=0),"",(I55-AB55)/AB55)</x:f>
      </x:c>
      <x:c r="AD55">
        <x:f>IF(OR(ISBLANK(Y55),ISBLANK(Z55)),"",IF(Z55&gt;Y55,"FEHLER: offen &gt; gesamt","OK"))</x:f>
      </x:c>
    </x:row>
    <x:row r="56">
      <x:c r="A56" t="inlineStr">
        <x:is>
          <x:t xml:space="preserve">P10055</x:t>
        </x:is>
      </x:c>
      <x:c r="B56" t="inlineStr">
        <x:is>
          <x:t xml:space="preserve">SKU-37D4IVSO</x:t>
        </x:is>
      </x:c>
      <x:c r="C56" t="inlineStr">
        <x:is>
          <x:t xml:space="preserve">PolarGear</x:t>
        </x:is>
      </x:c>
      <x:c r="D56" t="inlineStr">
        <x:is>
          <x:t xml:space="preserve">PolarGear Shampoo 9 Pro</x:t>
        </x:is>
      </x:c>
      <x:c r="E56" t="inlineStr">
        <x:is>
          <x:t xml:space="preserve">Drogerie</x:t>
        </x:is>
      </x:c>
      <x:c r="F56" t="inlineStr">
        <x:is>
          <x:t xml:space="preserve">Körperpflege</x:t>
        </x:is>
      </x:c>
      <x:c r="G56" t="inlineStr">
        <x:is>
          <x:t xml:space="preserve">PolarGear Shampoo 9 Pro aus der Kategorie Drogerie/Körperpflege. Farbe: weiß. Material: Gummi. Gewicht: 0.446 kg.</x:t>
        </x:is>
      </x:c>
      <x:c r="H56" s="2" t="n">
        <x:v>814.66</x:v>
      </x:c>
      <x:c r="I56" s="3" t="n">
        <x:v>887.98</x:v>
      </x:c>
      <x:c r="J56" s="4" t="n">
        <x:v>1.09</x:v>
      </x:c>
      <x:c r="K56" s="5" t="n">
        <x:v>19</x:v>
      </x:c>
      <x:c r="L56" t="n">
        <x:v>120</x:v>
      </x:c>
      <x:c r="M56" s="4" t="n">
        <x:v>0.446</x:v>
      </x:c>
      <x:c r="N56" s="6" t="n">
        <x:v>62.7</x:v>
      </x:c>
      <x:c r="O56" s="6" t="n">
        <x:v>31.6</x:v>
      </x:c>
      <x:c r="P56" s="6" t="n">
        <x:v>0.5</x:v>
      </x:c>
      <x:c r="Q56" t="inlineStr">
        <x:is>
          <x:t xml:space="preserve">weiß</x:t>
        </x:is>
      </x:c>
      <x:c r="R56" t="inlineStr">
        <x:is>
          <x:t xml:space="preserve">Gummi</x:t>
        </x:is>
      </x:c>
      <x:c r="S56" t="n">
        <x:v>0</x:v>
      </x:c>
      <x:c r="T56" t="inlineStr">
        <x:is>
          <x:t xml:space="preserve">B</x:t>
        </x:is>
      </x:c>
      <x:c r="U56" t="inlineStr">
        <x:is>
          <x:t xml:space="preserve"/>
        </x:is>
      </x:c>
      <x:c r="V56" t="inlineStr">
        <x:is>
          <x:t xml:space="preserve"/>
        </x:is>
      </x:c>
      <x:c r="W56" t="inlineStr">
        <x:is>
          <x:t xml:space="preserve"/>
        </x:is>
      </x:c>
      <x:c r="X56" t="inlineStr">
        <x:is>
          <x:t xml:space="preserve"/>
        </x:is>
      </x:c>
      <x:c r="Y56" t="inlineStr">
        <x:is>
          <x:t xml:space="preserve"/>
        </x:is>
      </x:c>
      <x:c r="Z56" t="inlineStr">
        <x:is>
          <x:t xml:space="preserve"/>
        </x:is>
      </x:c>
      <x:c r="AA56" t="inlineStr">
        <x:is>
          <x:t xml:space="preserve">NL</x:t>
        </x:is>
      </x:c>
      <x:c r="AB56" s="3">
        <x:f>IF(OR(ISBLANK(H56),ISBLANK(J56)),"",ROUND(H56*J56,2))</x:f>
      </x:c>
      <x:c r="AC56" s="5">
        <x:f>IF(OR(ISBLANK(I56),ISBLANK(AB56),AB56=0),"",(I56-AB56)/AB56)</x:f>
      </x:c>
      <x:c r="AD56">
        <x:f>IF(OR(ISBLANK(Y56),ISBLANK(Z56)),"",IF(Z56&gt;Y56,"FEHLER: offen &gt; gesamt","OK"))</x:f>
      </x:c>
    </x:row>
    <x:row r="57">
      <x:c r="A57" t="inlineStr">
        <x:is>
          <x:t xml:space="preserve">P10056</x:t>
        </x:is>
      </x:c>
      <x:c r="B57" t="inlineStr">
        <x:is>
          <x:t xml:space="preserve">SKU-SLQC3C54</x:t>
        </x:is>
      </x:c>
      <x:c r="C57" t="inlineStr">
        <x:is>
          <x:t xml:space="preserve">GartenZeit</x:t>
        </x:is>
      </x:c>
      <x:c r="D57" t="inlineStr">
        <x:is>
          <x:t xml:space="preserve">GartenZeit Scheibenwischer 6 Pro</x:t>
        </x:is>
      </x:c>
      <x:c r="E57" t="inlineStr">
        <x:is>
          <x:t xml:space="preserve">Auto</x:t>
        </x:is>
      </x:c>
      <x:c r="F57" t="inlineStr">
        <x:is>
          <x:t xml:space="preserve">Zubehör</x:t>
        </x:is>
      </x:c>
      <x:c r="G57" t="inlineStr">
        <x:is>
          <x:t xml:space="preserve">GartenZeit Scheibenwischer 6 Pro aus der Kategorie Auto/Zubehör. Farbe: pink. Material: Holz. Gewicht: 0.091 kg.</x:t>
        </x:is>
      </x:c>
      <x:c r="H57" s="2" t="n">
        <x:v>396.75</x:v>
      </x:c>
      <x:c r="I57" s="3" t="n">
        <x:v>432.46</x:v>
      </x:c>
      <x:c r="J57" s="4" t="n">
        <x:v>1.09</x:v>
      </x:c>
      <x:c r="K57" s="5" t="n">
        <x:v>19</x:v>
      </x:c>
      <x:c r="L57" t="n">
        <x:v>180</x:v>
      </x:c>
      <x:c r="M57" s="4" t="n">
        <x:v>0.091</x:v>
      </x:c>
      <x:c r="N57" s="6" t="n">
        <x:v>36.9</x:v>
      </x:c>
      <x:c r="O57" s="6" t="n">
        <x:v>25.8</x:v>
      </x:c>
      <x:c r="P57" s="6" t="n">
        <x:v>0.5</x:v>
      </x:c>
      <x:c r="Q57" t="inlineStr">
        <x:is>
          <x:t xml:space="preserve">pink</x:t>
        </x:is>
      </x:c>
      <x:c r="R57" t="inlineStr">
        <x:is>
          <x:t xml:space="preserve">Holz</x:t>
        </x:is>
      </x:c>
      <x:c r="S57" t="n">
        <x:v>24</x:v>
      </x:c>
      <x:c r="T57" t="inlineStr">
        <x:is>
          <x:t xml:space="preserve">C</x:t>
        </x:is>
      </x:c>
      <x:c r="U57" t="inlineStr">
        <x:is>
          <x:t xml:space="preserve"/>
        </x:is>
      </x:c>
      <x:c r="V57" t="inlineStr">
        <x:is>
          <x:t xml:space="preserve"/>
        </x:is>
      </x:c>
      <x:c r="W57" t="inlineStr">
        <x:is>
          <x:t xml:space="preserve"/>
        </x:is>
      </x:c>
      <x:c r="X57" t="inlineStr">
        <x:is>
          <x:t xml:space="preserve"/>
        </x:is>
      </x:c>
      <x:c r="Y57" t="inlineStr">
        <x:is>
          <x:t xml:space="preserve"/>
        </x:is>
      </x:c>
      <x:c r="Z57" t="inlineStr">
        <x:is>
          <x:t xml:space="preserve"/>
        </x:is>
      </x:c>
      <x:c r="AA57" t="inlineStr">
        <x:is>
          <x:t xml:space="preserve">ES</x:t>
        </x:is>
      </x:c>
      <x:c r="AB57" s="3">
        <x:f>IF(OR(ISBLANK(H57),ISBLANK(J57)),"",ROUND(H57*J57,2))</x:f>
      </x:c>
      <x:c r="AC57" s="5">
        <x:f>IF(OR(ISBLANK(I57),ISBLANK(AB57),AB57=0),"",(I57-AB57)/AB57)</x:f>
      </x:c>
      <x:c r="AD57">
        <x:f>IF(OR(ISBLANK(Y57),ISBLANK(Z57)),"",IF(Z57&gt;Y57,"FEHLER: offen &gt; gesamt","OK"))</x:f>
      </x:c>
    </x:row>
    <x:row r="58">
      <x:c r="A58" t="inlineStr">
        <x:is>
          <x:t xml:space="preserve">P10057</x:t>
        </x:is>
      </x:c>
      <x:c r="B58" t="inlineStr">
        <x:is>
          <x:t xml:space="preserve">SKU-GIPPSFNK</x:t>
        </x:is>
      </x:c>
      <x:c r="C58" t="inlineStr">
        <x:is>
          <x:t xml:space="preserve">KinderWelt</x:t>
        </x:is>
      </x:c>
      <x:c r="E58" t="inlineStr">
        <x:is>
          <x:t xml:space="preserve">Elektronik</x:t>
        </x:is>
      </x:c>
      <x:c r="F58" t="inlineStr">
        <x:is>
          <x:t xml:space="preserve">Computer</x:t>
        </x:is>
      </x:c>
      <x:c r="G58" t="inlineStr">
        <x:is>
          <x:t xml:space="preserve">KinderWelt Notebook 6 Mini aus der Kategorie Elektronik/Computer. Farbe: pink. Material: Baumwolle. Gewicht: 2.045 kg.</x:t>
        </x:is>
      </x:c>
      <x:c r="H58" s="2" t="n">
        <x:v>451.98</x:v>
      </x:c>
      <x:c r="I58" s="3" t="n">
        <x:v>492.66</x:v>
      </x:c>
      <x:c r="J58" s="4" t="n">
        <x:v>1.09</x:v>
      </x:c>
      <x:c r="K58" s="5" t="n">
        <x:v>19</x:v>
      </x:c>
      <x:c r="L58" t="n">
        <x:v>365</x:v>
      </x:c>
      <x:c r="M58" s="4" t="n">
        <x:v>2.045</x:v>
      </x:c>
      <x:c r="N58" s="6" t="n">
        <x:v>22.8</x:v>
      </x:c>
      <x:c r="O58" s="6" t="n">
        <x:v>30.7</x:v>
      </x:c>
      <x:c r="P58" s="6" t="n">
        <x:v>0.5</x:v>
      </x:c>
      <x:c r="Q58" t="inlineStr">
        <x:is>
          <x:t xml:space="preserve">pink</x:t>
        </x:is>
      </x:c>
      <x:c r="R58" t="inlineStr">
        <x:is>
          <x:t xml:space="preserve">Baumwolle</x:t>
        </x:is>
      </x:c>
      <x:c r="S58" t="n">
        <x:v>24</x:v>
      </x:c>
      <x:c r="T58" t="inlineStr">
        <x:is>
          <x:t xml:space="preserve">C</x:t>
        </x:is>
      </x:c>
      <x:c r="U58" t="n">
        <x:v>2071</x:v>
      </x:c>
      <x:c r="V58" t="n">
        <x:v>230</x:v>
      </x:c>
      <x:c r="W58" t="inlineStr">
        <x:is>
          <x:t xml:space="preserve"/>
        </x:is>
      </x:c>
      <x:c r="X58" t="inlineStr">
        <x:is>
          <x:t xml:space="preserve"/>
        </x:is>
      </x:c>
      <x:c r="Y58" t="inlineStr">
        <x:is>
          <x:t xml:space="preserve"/>
        </x:is>
      </x:c>
      <x:c r="Z58" t="inlineStr">
        <x:is>
          <x:t xml:space="preserve"/>
        </x:is>
      </x:c>
      <x:c r="AA58" t="inlineStr">
        <x:is>
          <x:t xml:space="preserve">ES</x:t>
        </x:is>
      </x:c>
      <x:c r="AB58" s="3">
        <x:f>IF(OR(ISBLANK(H58),ISBLANK(J58)),"",ROUND(H58*J58,2))</x:f>
      </x:c>
      <x:c r="AC58" s="5">
        <x:f>IF(OR(ISBLANK(I58),ISBLANK(AB58),AB58=0),"",(I58-AB58)/AB58)</x:f>
      </x:c>
      <x:c r="AD58">
        <x:f>IF(OR(ISBLANK(Y58),ISBLANK(Z58)),"",IF(Z58&gt;Y58,"FEHLER: offen &gt; gesamt","OK"))</x:f>
      </x:c>
    </x:row>
    <x:row r="59">
      <x:c r="A59" t="inlineStr">
        <x:is>
          <x:t xml:space="preserve">P10058</x:t>
        </x:is>
      </x:c>
      <x:c r="B59" t="inlineStr">
        <x:is>
          <x:t xml:space="preserve">SKU-CX7LXXEZ</x:t>
        </x:is>
      </x:c>
      <x:c r="C59" t="inlineStr">
        <x:is>
          <x:t xml:space="preserve">KüstenKlang</x:t>
        </x:is>
      </x:c>
      <x:c r="D59" t="inlineStr">
        <x:is>
          <x:t xml:space="preserve">KüstenKlang Schraubenset 2 Mini</x:t>
        </x:is>
      </x:c>
      <x:c r="E59" t="inlineStr">
        <x:is>
          <x:t xml:space="preserve">Baumarkt</x:t>
        </x:is>
      </x:c>
      <x:c r="F59" t="inlineStr">
        <x:is>
          <x:t xml:space="preserve">Schrauben &amp; Nägel</x:t>
        </x:is>
      </x:c>
      <x:c r="G59" t="inlineStr">
        <x:is>
          <x:t xml:space="preserve">KüstenKlang Schraubenset 2 Mini aus der Kategorie Baumarkt/Schrauben &amp; Nägel. Farbe: weiß. Material: Holz. Gewicht: 1.008 kg.</x:t>
        </x:is>
      </x:c>
      <x:c r="H59" s="2" t="n">
        <x:v>257.24</x:v>
      </x:c>
      <x:c r="I59" s="3" t="n">
        <x:v>0</x:v>
      </x:c>
      <x:c r="J59" s="4" t="n">
        <x:v>1.09</x:v>
      </x:c>
      <x:c r="K59" s="5" t="n">
        <x:v>19</x:v>
      </x:c>
      <x:c r="L59" t="n">
        <x:v>170</x:v>
      </x:c>
      <x:c r="M59" s="4" t="n">
        <x:v>1.008</x:v>
      </x:c>
      <x:c r="N59" s="6" t="n">
        <x:v>1</x:v>
      </x:c>
      <x:c r="O59" s="6" t="n">
        <x:v>45.4</x:v>
      </x:c>
      <x:c r="P59" s="6" t="n">
        <x:v>0.5</x:v>
      </x:c>
      <x:c r="Q59" t="inlineStr">
        <x:is>
          <x:t xml:space="preserve">weiß</x:t>
        </x:is>
      </x:c>
      <x:c r="R59" t="inlineStr">
        <x:is>
          <x:t xml:space="preserve">Holz</x:t>
        </x:is>
      </x:c>
      <x:c r="S59" t="n">
        <x:v>24</x:v>
      </x:c>
      <x:c r="T59" t="inlineStr">
        <x:is>
          <x:t xml:space="preserve"/>
        </x:is>
      </x:c>
      <x:c r="U59" t="inlineStr">
        <x:is>
          <x:t xml:space="preserve"/>
        </x:is>
      </x:c>
      <x:c r="V59" t="inlineStr">
        <x:is>
          <x:t xml:space="preserve"/>
        </x:is>
      </x:c>
      <x:c r="W59" t="inlineStr">
        <x:is>
          <x:t xml:space="preserve"/>
        </x:is>
      </x:c>
      <x:c r="X59" t="inlineStr">
        <x:is>
          <x:t xml:space="preserve"/>
        </x:is>
      </x:c>
      <x:c r="Y59" t="inlineStr">
        <x:is>
          <x:t xml:space="preserve"/>
        </x:is>
      </x:c>
      <x:c r="Z59" t="inlineStr">
        <x:is>
          <x:t xml:space="preserve"/>
        </x:is>
      </x:c>
      <x:c r="AA59" t="inlineStr">
        <x:is>
          <x:t xml:space="preserve">PL</x:t>
        </x:is>
      </x:c>
      <x:c r="AB59" s="3">
        <x:f>IF(OR(ISBLANK(H59),ISBLANK(J59)),"",ROUND(H59*J59,2))</x:f>
      </x:c>
      <x:c r="AC59" s="5">
        <x:f>IF(OR(ISBLANK(I59),ISBLANK(AB59),AB59=0),"",(I59-AB59)/AB59)</x:f>
      </x:c>
      <x:c r="AD59">
        <x:f>IF(OR(ISBLANK(Y59),ISBLANK(Z59)),"",IF(Z59&gt;Y59,"FEHLER: offen &gt; gesamt","OK"))</x:f>
      </x:c>
    </x:row>
    <x:row r="60">
      <x:c r="A60" t="inlineStr">
        <x:is>
          <x:t xml:space="preserve">P10059</x:t>
        </x:is>
      </x:c>
      <x:c r="B60" t="inlineStr">
        <x:is>
          <x:t xml:space="preserve">SKU-9FK2ST0S</x:t>
        </x:is>
      </x:c>
      <x:c r="C60" t="inlineStr">
        <x:is>
          <x:t xml:space="preserve">PolarGear</x:t>
        </x:is>
      </x:c>
      <x:c r="D60" t="inlineStr">
        <x:is>
          <x:t xml:space="preserve">PolarGear Staubsaugerbeutel 7 XL</x:t>
        </x:is>
      </x:c>
      <x:c r="E60" t="inlineStr">
        <x:is>
          <x:t xml:space="preserve">Haushalt</x:t>
        </x:is>
      </x:c>
      <x:c r="F60" t="inlineStr">
        <x:is>
          <x:t xml:space="preserve">Reinigung</x:t>
        </x:is>
      </x:c>
      <x:c r="G60" t="inlineStr">
        <x:is>
          <x:t xml:space="preserve">PolarGear Staubsaugerbeutel 7 XL aus der Kategorie Haushalt/Reinigung. Farbe: beige. Material: Edelstahl. Gewicht: 0.489 kg.</x:t>
        </x:is>
      </x:c>
      <x:c r="H60" s="2" t="n">
        <x:v>18.84</x:v>
      </x:c>
      <x:c r="I60" s="3" t="n">
        <x:v>20.54</x:v>
      </x:c>
      <x:c r="J60" s="4" t="n">
        <x:v>1.09</x:v>
      </x:c>
      <x:c r="K60" s="5" t="n">
        <x:v>19</x:v>
      </x:c>
      <x:c r="L60" t="n">
        <x:v>98</x:v>
      </x:c>
      <x:c r="M60" s="4" t="n">
        <x:v>0.489</x:v>
      </x:c>
      <x:c r="N60" s="6" t="n">
        <x:v>87.3</x:v>
      </x:c>
      <x:c r="O60" s="6" t="n">
        <x:v>6.1</x:v>
      </x:c>
      <x:c r="P60" s="6" t="n">
        <x:v>27.2</x:v>
      </x:c>
      <x:c r="Q60" t="inlineStr">
        <x:is>
          <x:t xml:space="preserve">beige</x:t>
        </x:is>
      </x:c>
      <x:c r="R60" t="inlineStr">
        <x:is>
          <x:t xml:space="preserve">Edelstahl</x:t>
        </x:is>
      </x:c>
      <x:c r="S60" t="n">
        <x:v>24</x:v>
      </x:c>
      <x:c r="T60" t="inlineStr">
        <x:is>
          <x:t xml:space="preserve">C</x:t>
        </x:is>
      </x:c>
      <x:c r="U60" t="inlineStr">
        <x:is>
          <x:t xml:space="preserve"/>
        </x:is>
      </x:c>
      <x:c r="V60" t="inlineStr">
        <x:is>
          <x:t xml:space="preserve"/>
        </x:is>
      </x:c>
      <x:c r="W60" t="inlineStr">
        <x:is>
          <x:t xml:space="preserve">2026-03-02</x:t>
        </x:is>
      </x:c>
      <x:c r="X60" t="inlineStr">
        <x:is>
          <x:t xml:space="preserve"/>
        </x:is>
      </x:c>
      <x:c r="Y60" t="inlineStr">
        <x:is>
          <x:t xml:space="preserve"/>
        </x:is>
      </x:c>
      <x:c r="Z60" t="inlineStr">
        <x:is>
          <x:t xml:space="preserve"/>
        </x:is>
      </x:c>
      <x:c r="AA60" t="inlineStr">
        <x:is>
          <x:t xml:space="preserve">IT</x:t>
        </x:is>
      </x:c>
      <x:c r="AB60" s="3">
        <x:f>IF(OR(ISBLANK(H60),ISBLANK(J60)),"",ROUND(H60*J60,2))</x:f>
      </x:c>
      <x:c r="AC60" s="5">
        <x:f>IF(OR(ISBLANK(I60),ISBLANK(AB60),AB60=0),"",(I60-AB60)/AB60)</x:f>
      </x:c>
      <x:c r="AD60">
        <x:f>IF(OR(ISBLANK(Y60),ISBLANK(Z60)),"",IF(Z60&gt;Y60,"FEHLER: offen &gt; gesamt","OK"))</x:f>
      </x:c>
    </x:row>
    <x:row r="61">
      <x:c r="A61" t="inlineStr">
        <x:is>
          <x:t xml:space="preserve">P10060</x:t>
        </x:is>
      </x:c>
      <x:c r="B61" t="inlineStr">
        <x:is>
          <x:t xml:space="preserve">SKU-0QTL3Q4N</x:t>
        </x:is>
      </x:c>
      <x:c r="C61" t="inlineStr">
        <x:is>
          <x:t xml:space="preserve">HansaHome</x:t>
        </x:is>
      </x:c>
      <x:c r="D61" t="inlineStr">
        <x:is>
          <x:t xml:space="preserve">HansaHome Trinkflasche 3 Mini</x:t>
        </x:is>
      </x:c>
      <x:c r="E61" t="inlineStr">
        <x:is>
          <x:t xml:space="preserve">Sport</x:t>
        </x:is>
      </x:c>
      <x:c r="F61" t="inlineStr">
        <x:is>
          <x:t xml:space="preserve">Outdoor</x:t>
        </x:is>
      </x:c>
      <x:c r="G61" t="inlineStr">
        <x:is>
          <x:t xml:space="preserve">HansaHome Trinkflasche 3 Mini aus der Kategorie Sport/Outdoor. Farbe: silber. Material: Aluminium. Gewicht: 0.361 kg.</x:t>
        </x:is>
      </x:c>
      <x:c r="H61" s="2" t="n">
        <x:v>41.67</x:v>
      </x:c>
      <x:c r="I61" s="3" t="n">
        <x:v>45.42</x:v>
      </x:c>
      <x:c r="J61" s="4" t="n">
        <x:v>1.09</x:v>
      </x:c>
      <x:c r="K61" s="5" t="n">
        <x:v>19</x:v>
      </x:c>
      <x:c r="L61" t="n">
        <x:v>385</x:v>
      </x:c>
      <x:c r="M61" s="4" t="n">
        <x:v>0.361</x:v>
      </x:c>
      <x:c r="N61" s="6" t="n">
        <x:v>60</x:v>
      </x:c>
      <x:c r="O61" s="6" t="n">
        <x:v>40.2</x:v>
      </x:c>
      <x:c r="P61" s="6" t="n">
        <x:v>-5</x:v>
      </x:c>
      <x:c r="Q61" t="inlineStr">
        <x:is>
          <x:t xml:space="preserve">silber</x:t>
        </x:is>
      </x:c>
      <x:c r="R61" t="inlineStr">
        <x:is>
          <x:t xml:space="preserve">Aluminium</x:t>
        </x:is>
      </x:c>
      <x:c r="S61" t="n">
        <x:v>0</x:v>
      </x:c>
      <x:c r="T61" t="inlineStr">
        <x:is>
          <x:t xml:space="preserve"/>
        </x:is>
      </x:c>
      <x:c r="U61" t="inlineStr">
        <x:is>
          <x:t xml:space="preserve"/>
        </x:is>
      </x:c>
      <x:c r="V61" t="inlineStr">
        <x:is>
          <x:t xml:space="preserve"/>
        </x:is>
      </x:c>
      <x:c r="W61" t="inlineStr">
        <x:is>
          <x:t xml:space="preserve"/>
        </x:is>
      </x:c>
      <x:c r="X61" t="inlineStr">
        <x:is>
          <x:t xml:space="preserve"/>
        </x:is>
      </x:c>
      <x:c r="Y61" t="inlineStr">
        <x:is>
          <x:t xml:space="preserve"/>
        </x:is>
      </x:c>
      <x:c r="Z61" t="inlineStr">
        <x:is>
          <x:t xml:space="preserve"/>
        </x:is>
      </x:c>
      <x:c r="AA61" t="inlineStr">
        <x:is>
          <x:t xml:space="preserve">NL</x:t>
        </x:is>
      </x:c>
      <x:c r="AB61" s="3">
        <x:f>IF(OR(ISBLANK(H61),ISBLANK(J61)),"",ROUND(H61*J61,2))</x:f>
      </x:c>
      <x:c r="AC61" s="5">
        <x:f>IF(OR(ISBLANK(I61),ISBLANK(AB61),AB61=0),"",(I61-AB61)/AB61)</x:f>
      </x:c>
      <x:c r="AD61">
        <x:f>IF(OR(ISBLANK(Y61),ISBLANK(Z61)),"",IF(Z61&gt;Y61,"FEHLER: offen &gt; gesamt","OK"))</x:f>
      </x:c>
    </x:row>
    <x:row r="62">
      <x:c r="A62" t="inlineStr">
        <x:is>
          <x:t xml:space="preserve">P10061</x:t>
        </x:is>
      </x:c>
      <x:c r="B62" t="inlineStr">
        <x:is>
          <x:t xml:space="preserve">SKU-4K1J6FP8</x:t>
        </x:is>
      </x:c>
      <x:c r="C62" t="inlineStr">
        <x:is>
          <x:t xml:space="preserve">Berg &amp; Tal</x:t>
        </x:is>
      </x:c>
      <x:c r="D62" t="inlineStr">
        <x:is>
          <x:t xml:space="preserve">Berg &amp; Tal Shampoo 3 XL</x:t>
        </x:is>
      </x:c>
      <x:c r="E62" t="inlineStr">
        <x:is>
          <x:t xml:space="preserve">Drogerie</x:t>
        </x:is>
      </x:c>
      <x:c r="F62" t="inlineStr">
        <x:is>
          <x:t xml:space="preserve">Körperpflege</x:t>
        </x:is>
      </x:c>
      <x:c r="G62" t="inlineStr">
        <x:is>
          <x:t xml:space="preserve">Berg &amp; Tal Shampoo 3 XL aus der Kategorie Drogerie/Körperpflege. Farbe: silber. Material: Baumwolle. Gewicht: 0.435 kg.</x:t>
        </x:is>
      </x:c>
      <x:c r="H62" s="2" t="n">
        <x:v>49.28</x:v>
      </x:c>
      <x:c r="I62" s="3" t="n">
        <x:v>53.72</x:v>
      </x:c>
      <x:c r="J62" s="4" t="n">
        <x:v>1.09</x:v>
      </x:c>
      <x:c r="K62" s="5" t="n">
        <x:v>19</x:v>
      </x:c>
      <x:c r="L62" t="n">
        <x:v>264</x:v>
      </x:c>
      <x:c r="M62" s="4" t="n">
        <x:v>0.435</x:v>
      </x:c>
      <x:c r="N62" s="6" t="n">
        <x:v>32.9</x:v>
      </x:c>
      <x:c r="O62" s="6" t="n">
        <x:v>41.7</x:v>
      </x:c>
      <x:c r="P62" s="6" t="n">
        <x:v>0.001</x:v>
      </x:c>
      <x:c r="Q62" t="inlineStr">
        <x:is>
          <x:t xml:space="preserve">silber</x:t>
        </x:is>
      </x:c>
      <x:c r="R62" t="inlineStr">
        <x:is>
          <x:t xml:space="preserve">Baumwolle</x:t>
        </x:is>
      </x:c>
      <x:c r="S62" t="n">
        <x:v>0</x:v>
      </x:c>
      <x:c r="T62" t="inlineStr">
        <x:is>
          <x:t xml:space="preserve"/>
        </x:is>
      </x:c>
      <x:c r="U62" t="inlineStr">
        <x:is>
          <x:t xml:space="preserve"/>
        </x:is>
      </x:c>
      <x:c r="V62" t="inlineStr">
        <x:is>
          <x:t xml:space="preserve"/>
        </x:is>
      </x:c>
      <x:c r="W62" t="inlineStr">
        <x:is>
          <x:t xml:space="preserve"/>
        </x:is>
      </x:c>
      <x:c r="X62" t="inlineStr">
        <x:is>
          <x:t xml:space="preserve"/>
        </x:is>
      </x:c>
      <x:c r="Y62" t="inlineStr">
        <x:is>
          <x:t xml:space="preserve"/>
        </x:is>
      </x:c>
      <x:c r="Z62" t="inlineStr">
        <x:is>
          <x:t xml:space="preserve"/>
        </x:is>
      </x:c>
      <x:c r="AA62" t="inlineStr">
        <x:is>
          <x:t xml:space="preserve">VN</x:t>
        </x:is>
      </x:c>
      <x:c r="AB62" s="3">
        <x:f>IF(OR(ISBLANK(H62),ISBLANK(J62)),"",ROUND(H62*J62,2))</x:f>
      </x:c>
      <x:c r="AC62" s="5">
        <x:f>IF(OR(ISBLANK(I62),ISBLANK(AB62),AB62=0),"",(I62-AB62)/AB62)</x:f>
      </x:c>
      <x:c r="AD62">
        <x:f>IF(OR(ISBLANK(Y62),ISBLANK(Z62)),"",IF(Z62&gt;Y62,"FEHLER: offen &gt; gesamt","OK"))</x:f>
      </x:c>
    </x:row>
    <x:row r="63">
      <x:c r="A63" t="inlineStr">
        <x:is>
          <x:t xml:space="preserve">P10062</x:t>
        </x:is>
      </x:c>
      <x:c r="B63" t="inlineStr">
        <x:is>
          <x:t xml:space="preserve">SKU-EK3ZEZQA</x:t>
        </x:is>
      </x:c>
      <x:c r="C63" t="inlineStr">
        <x:is>
          <x:t xml:space="preserve">KüstenKlang</x:t>
        </x:is>
      </x:c>
      <x:c r="D63" t="inlineStr">
        <x:is>
          <x:t xml:space="preserve">KüstenKlang Shampoo 2 XL</x:t>
        </x:is>
      </x:c>
      <x:c r="E63" t="inlineStr">
        <x:is>
          <x:t xml:space="preserve">Drogerie</x:t>
        </x:is>
      </x:c>
      <x:c r="F63" t="inlineStr">
        <x:is>
          <x:t xml:space="preserve">Körperpflege</x:t>
        </x:is>
      </x:c>
      <x:c r="G63" t="inlineStr">
        <x:is>
          <x:t xml:space="preserve">KüstenKlang Shampoo 2 XL aus der Kategorie Drogerie/Körperpflege. Farbe: rot. Material: Glas. Gewicht: 1.047 kg.</x:t>
        </x:is>
      </x:c>
      <x:c r="H63" s="2" t="n">
        <x:v>203.8</x:v>
      </x:c>
      <x:c r="I63" s="3" t="n">
        <x:v>222.14</x:v>
      </x:c>
      <x:c r="J63" s="4" t="n">
        <x:v>1.09</x:v>
      </x:c>
      <x:c r="K63" s="5" t="n">
        <x:v>19</x:v>
      </x:c>
      <x:c r="L63" t="n">
        <x:v>74</x:v>
      </x:c>
      <x:c r="M63" s="4" t="n">
        <x:v>1.047</x:v>
      </x:c>
      <x:c r="N63" s="6" t="n">
        <x:v>40.4</x:v>
      </x:c>
      <x:c r="O63" s="6" t="n">
        <x:v>17</x:v>
      </x:c>
      <x:c r="P63" s="6" t="n">
        <x:v>0.5</x:v>
      </x:c>
      <x:c r="Q63" t="inlineStr">
        <x:is>
          <x:t xml:space="preserve">rot</x:t>
        </x:is>
      </x:c>
      <x:c r="R63" t="inlineStr">
        <x:is>
          <x:t xml:space="preserve">Glas</x:t>
        </x:is>
      </x:c>
      <x:c r="S63" t="n">
        <x:v>0</x:v>
      </x:c>
      <x:c r="T63" t="inlineStr">
        <x:is>
          <x:t xml:space="preserve"/>
        </x:is>
      </x:c>
      <x:c r="U63" t="inlineStr">
        <x:is>
          <x:t xml:space="preserve"/>
        </x:is>
      </x:c>
      <x:c r="V63" t="inlineStr">
        <x:is>
          <x:t xml:space="preserve"/>
        </x:is>
      </x:c>
      <x:c r="W63" t="inlineStr">
        <x:is>
          <x:t xml:space="preserve"/>
        </x:is>
      </x:c>
      <x:c r="X63" t="inlineStr">
        <x:is>
          <x:t xml:space="preserve"/>
        </x:is>
      </x:c>
      <x:c r="Y63" t="inlineStr">
        <x:is>
          <x:t xml:space="preserve"/>
        </x:is>
      </x:c>
      <x:c r="Z63" t="inlineStr">
        <x:is>
          <x:t xml:space="preserve"/>
        </x:is>
      </x:c>
      <x:c r="AA63" t="inlineStr">
        <x:is>
          <x:t xml:space="preserve">PL</x:t>
        </x:is>
      </x:c>
      <x:c r="AB63" s="3">
        <x:f>IF(OR(ISBLANK(H63),ISBLANK(J63)),"",ROUND(H63*J63,2))</x:f>
      </x:c>
      <x:c r="AC63" s="5">
        <x:f>IF(OR(ISBLANK(I63),ISBLANK(AB63),AB63=0),"",(I63-AB63)/AB63)</x:f>
      </x:c>
      <x:c r="AD63">
        <x:f>IF(OR(ISBLANK(Y63),ISBLANK(Z63)),"",IF(Z63&gt;Y63,"FEHLER: offen &gt; gesamt","OK"))</x:f>
      </x:c>
    </x:row>
    <x:row r="64">
      <x:c r="A64" t="inlineStr">
        <x:is>
          <x:t xml:space="preserve">P10063</x:t>
        </x:is>
      </x:c>
      <x:c r="B64" t="inlineStr">
        <x:is>
          <x:t xml:space="preserve">SKU-WC4RTWUZ</x:t>
        </x:is>
      </x:c>
      <x:c r="C64" t="inlineStr">
        <x:is>
          <x:t xml:space="preserve">HansaHome</x:t>
        </x:is>
      </x:c>
      <x:c r="D64" t="inlineStr">
        <x:is>
          <x:t xml:space="preserve">HansaHome Akkuschere 9 Mini</x:t>
        </x:is>
      </x:c>
      <x:c r="E64" t="inlineStr">
        <x:is>
          <x:t xml:space="preserve">Garten</x:t>
        </x:is>
      </x:c>
      <x:c r="F64" t="inlineStr">
        <x:is>
          <x:t xml:space="preserve">Gartengeräte</x:t>
        </x:is>
      </x:c>
      <x:c r="G64" t="inlineStr">
        <x:is>
          <x:t xml:space="preserve">HansaHome Akkuschere 9 Mini aus der Kategorie Garten/Gartengeräte. Farbe: beige. Material: Leder. Gewicht: 1.039 kg.</x:t>
        </x:is>
      </x:c>
      <x:c r="H64" s="2" t="n">
        <x:v>102.18</x:v>
      </x:c>
      <x:c r="I64" s="3" t="n">
        <x:v>111.38</x:v>
      </x:c>
      <x:c r="J64" s="4" t="n">
        <x:v>1.09</x:v>
      </x:c>
      <x:c r="K64" s="5" t="n">
        <x:v>19</x:v>
      </x:c>
      <x:c r="L64" t="n">
        <x:v>406</x:v>
      </x:c>
      <x:c r="M64" s="4" t="n">
        <x:v>1.039</x:v>
      </x:c>
      <x:c r="N64" s="6" t="n">
        <x:v>50.6</x:v>
      </x:c>
      <x:c r="O64" s="6" t="n">
        <x:v>35</x:v>
      </x:c>
      <x:c r="P64" s="6" t="n">
        <x:v>13.7</x:v>
      </x:c>
      <x:c r="Q64" t="inlineStr">
        <x:is>
          <x:t xml:space="preserve">beige</x:t>
        </x:is>
      </x:c>
      <x:c r="R64" t="inlineStr">
        <x:is>
          <x:t xml:space="preserve">Leder</x:t>
        </x:is>
      </x:c>
      <x:c r="S64" t="n">
        <x:v>0</x:v>
      </x:c>
      <x:c r="T64" t="inlineStr">
        <x:is>
          <x:t xml:space="preserve">B</x:t>
        </x:is>
      </x:c>
      <x:c r="U64" t="inlineStr">
        <x:is>
          <x:t xml:space="preserve"/>
        </x:is>
      </x:c>
      <x:c r="V64" t="inlineStr">
        <x:is>
          <x:t xml:space="preserve"/>
        </x:is>
      </x:c>
      <x:c r="W64" t="inlineStr">
        <x:is>
          <x:t xml:space="preserve"/>
        </x:is>
      </x:c>
      <x:c r="X64" t="inlineStr">
        <x:is>
          <x:t xml:space="preserve"/>
        </x:is>
      </x:c>
      <x:c r="Y64" t="inlineStr">
        <x:is>
          <x:t xml:space="preserve"/>
        </x:is>
      </x:c>
      <x:c r="Z64" t="inlineStr">
        <x:is>
          <x:t xml:space="preserve"/>
        </x:is>
      </x:c>
      <x:c r="AA64" t="inlineStr">
        <x:is>
          <x:t xml:space="preserve">TR</x:t>
        </x:is>
      </x:c>
      <x:c r="AB64" s="3">
        <x:f>IF(OR(ISBLANK(H64),ISBLANK(J64)),"",ROUND(H64*J64,2))</x:f>
      </x:c>
      <x:c r="AC64" s="5">
        <x:f>IF(OR(ISBLANK(I64),ISBLANK(AB64),AB64=0),"",(I64-AB64)/AB64)</x:f>
      </x:c>
      <x:c r="AD64">
        <x:f>IF(OR(ISBLANK(Y64),ISBLANK(Z64)),"",IF(Z64&gt;Y64,"FEHLER: offen &gt; gesamt","OK"))</x:f>
      </x:c>
    </x:row>
    <x:row r="65">
      <x:c r="A65" t="inlineStr">
        <x:is>
          <x:t xml:space="preserve">P10064</x:t>
        </x:is>
      </x:c>
      <x:c r="B65" t="inlineStr">
        <x:is>
          <x:t xml:space="preserve">SKU-WC4RTWUZ</x:t>
        </x:is>
      </x:c>
      <x:c r="C65" t="inlineStr">
        <x:is>
          <x:t xml:space="preserve">GartenZeit</x:t>
        </x:is>
      </x:c>
      <x:c r="D65" t="inlineStr">
        <x:is>
          <x:t xml:space="preserve">GartenZeit Gartenhaus 2 XL</x:t>
        </x:is>
      </x:c>
      <x:c r="E65" t="inlineStr">
        <x:is>
          <x:t xml:space="preserve">Garten</x:t>
        </x:is>
      </x:c>
      <x:c r="F65" t="inlineStr">
        <x:is>
          <x:t xml:space="preserve">Gartenhaus</x:t>
        </x:is>
      </x:c>
      <x:c r="G65" t="inlineStr">
        <x:is>
          <x:t xml:space="preserve">GartenZeit Gartenhaus 2 XL aus der Kategorie Garten/Gartenhaus. Farbe: gelb. Material: Aluminium. Gewicht: 96.1 kg.</x:t>
        </x:is>
      </x:c>
      <x:c r="H65" s="2" t="n">
        <x:v>63.17</x:v>
      </x:c>
      <x:c r="I65" s="3" t="n">
        <x:v>68.86</x:v>
      </x:c>
      <x:c r="J65" s="4" t="n">
        <x:v>1.09</x:v>
      </x:c>
      <x:c r="K65" s="5" t="n">
        <x:v>19</x:v>
      </x:c>
      <x:c r="L65" t="n">
        <x:v>199</x:v>
      </x:c>
      <x:c r="M65" s="4" t="n">
        <x:v>96.09999999999999</x:v>
      </x:c>
      <x:c r="N65" s="6" t="n">
        <x:v>324</x:v>
      </x:c>
      <x:c r="O65" s="6" t="n">
        <x:v>281</x:v>
      </x:c>
      <x:c r="P65" s="6" t="n">
        <x:v>285</x:v>
      </x:c>
      <x:c r="Q65" t="inlineStr">
        <x:is>
          <x:t xml:space="preserve">gelb</x:t>
        </x:is>
      </x:c>
      <x:c r="R65" t="inlineStr">
        <x:is>
          <x:t xml:space="preserve">Aluminium</x:t>
        </x:is>
      </x:c>
      <x:c r="S65" t="n">
        <x:v>60</x:v>
      </x:c>
      <x:c r="T65" t="inlineStr">
        <x:is>
          <x:t xml:space="preserve"/>
        </x:is>
      </x:c>
      <x:c r="U65" t="inlineStr">
        <x:is>
          <x:t xml:space="preserve"/>
        </x:is>
      </x:c>
      <x:c r="V65" t="inlineStr">
        <x:is>
          <x:t xml:space="preserve"/>
        </x:is>
      </x:c>
      <x:c r="W65" t="inlineStr">
        <x:is>
          <x:t xml:space="preserve"/>
        </x:is>
      </x:c>
      <x:c r="X65" t="inlineStr">
        <x:is>
          <x:t xml:space="preserve"/>
        </x:is>
      </x:c>
      <x:c r="Y65" t="n">
        <x:v>6</x:v>
      </x:c>
      <x:c r="Z65" t="n">
        <x:v>3</x:v>
      </x:c>
      <x:c r="AA65" t="inlineStr">
        <x:is>
          <x:t xml:space="preserve">IT</x:t>
        </x:is>
      </x:c>
      <x:c r="AB65" s="3">
        <x:f>IF(OR(ISBLANK(H65),ISBLANK(J65)),"",ROUND(H65*J65,2))</x:f>
      </x:c>
      <x:c r="AC65" s="5">
        <x:f>IF(OR(ISBLANK(I65),ISBLANK(AB65),AB65=0),"",(I65-AB65)/AB65)</x:f>
      </x:c>
      <x:c r="AD65">
        <x:f>IF(OR(ISBLANK(Y65),ISBLANK(Z65)),"",IF(Z65&gt;Y65,"FEHLER: offen &gt; gesamt","OK"))</x:f>
      </x:c>
    </x:row>
    <x:row r="66">
      <x:c r="A66" t="inlineStr">
        <x:is>
          <x:t xml:space="preserve">P10065</x:t>
        </x:is>
      </x:c>
      <x:c r="B66" t="inlineStr">
        <x:is>
          <x:t xml:space="preserve">SKU-WC4RTWUZ</x:t>
        </x:is>
      </x:c>
      <x:c r="C66" t="inlineStr">
        <x:is>
          <x:t xml:space="preserve">HansaHome</x:t>
        </x:is>
      </x:c>
      <x:c r="D66" t="inlineStr">
        <x:is>
          <x:t xml:space="preserve">HansaHome Schraubenset 3 Pro</x:t>
        </x:is>
      </x:c>
      <x:c r="E66" t="inlineStr">
        <x:is>
          <x:t xml:space="preserve">Baumarkt</x:t>
        </x:is>
      </x:c>
      <x:c r="F66" t="inlineStr">
        <x:is>
          <x:t xml:space="preserve">Schrauben &amp; Nägel</x:t>
        </x:is>
      </x:c>
      <x:c r="G66" t="inlineStr">
        <x:is>
          <x:t xml:space="preserve">HansaHome Schraubenset 3 Pro aus der Kategorie Baumarkt/Schrauben &amp; Nägel. Farbe: grau. Material: Keramik. Gewicht: 1.345 kg.</x:t>
        </x:is>
      </x:c>
      <x:c r="H66" s="2" t="n">
        <x:v>59.07</x:v>
      </x:c>
      <x:c r="I66" s="3" t="n">
        <x:v>64.39</x:v>
      </x:c>
      <x:c r="J66" s="4" t="n">
        <x:v>1.09</x:v>
      </x:c>
      <x:c r="K66" s="5" t="n">
        <x:v>19</x:v>
      </x:c>
      <x:c r="L66" t="n">
        <x:v>102</x:v>
      </x:c>
      <x:c r="M66" s="4" t="n">
        <x:v>1.345</x:v>
      </x:c>
      <x:c r="N66" s="6" t="n">
        <x:v>2.7</x:v>
      </x:c>
      <x:c r="O66" s="6" t="n">
        <x:v>18.8</x:v>
      </x:c>
      <x:c r="P66" s="6" t="n">
        <x:v>13.5</x:v>
      </x:c>
      <x:c r="Q66" t="inlineStr">
        <x:is>
          <x:t xml:space="preserve">grau</x:t>
        </x:is>
      </x:c>
      <x:c r="R66" t="inlineStr">
        <x:is>
          <x:t xml:space="preserve">Keramik</x:t>
        </x:is>
      </x:c>
      <x:c r="S66" t="n">
        <x:v>24</x:v>
      </x:c>
      <x:c r="T66" t="inlineStr">
        <x:is>
          <x:t xml:space="preserve"/>
        </x:is>
      </x:c>
      <x:c r="U66" t="inlineStr">
        <x:is>
          <x:t xml:space="preserve"/>
        </x:is>
      </x:c>
      <x:c r="V66" t="inlineStr">
        <x:is>
          <x:t xml:space="preserve"/>
        </x:is>
      </x:c>
      <x:c r="W66" t="inlineStr">
        <x:is>
          <x:t xml:space="preserve"/>
        </x:is>
      </x:c>
      <x:c r="X66" t="inlineStr">
        <x:is>
          <x:t xml:space="preserve"/>
        </x:is>
      </x:c>
      <x:c r="Y66" t="inlineStr">
        <x:is>
          <x:t xml:space="preserve"/>
        </x:is>
      </x:c>
      <x:c r="Z66" t="inlineStr">
        <x:is>
          <x:t xml:space="preserve"/>
        </x:is>
      </x:c>
      <x:c r="AA66" t="inlineStr">
        <x:is>
          <x:t xml:space="preserve">TR</x:t>
        </x:is>
      </x:c>
      <x:c r="AB66" s="3">
        <x:f>IF(OR(ISBLANK(H66),ISBLANK(J66)),"",ROUND(H66*J66,2))</x:f>
      </x:c>
      <x:c r="AC66" s="5">
        <x:f>IF(OR(ISBLANK(I66),ISBLANK(AB66),AB66=0),"",(I66-AB66)/AB66)</x:f>
      </x:c>
      <x:c r="AD66">
        <x:f>IF(OR(ISBLANK(Y66),ISBLANK(Z66)),"",IF(Z66&gt;Y66,"FEHLER: offen &gt; gesamt","OK"))</x:f>
      </x:c>
    </x:row>
    <x:row r="67">
      <x:c r="A67" t="inlineStr">
        <x:is>
          <x:t xml:space="preserve">P10066</x:t>
        </x:is>
      </x:c>
      <x:c r="B67" t="inlineStr">
        <x:is>
          <x:t xml:space="preserve">SKU-7S20CV3T</x:t>
        </x:is>
      </x:c>
      <x:c r="C67" t="inlineStr">
        <x:is>
          <x:t xml:space="preserve">PolarGear</x:t>
        </x:is>
      </x:c>
      <x:c r="D67" t="inlineStr">
        <x:is>
          <x:t xml:space="preserve">PolarGear Notebook 2 XL</x:t>
        </x:is>
      </x:c>
      <x:c r="E67" t="inlineStr">
        <x:is>
          <x:t xml:space="preserve">Elektronik</x:t>
        </x:is>
      </x:c>
      <x:c r="F67" t="inlineStr">
        <x:is>
          <x:t xml:space="preserve">Computer</x:t>
        </x:is>
      </x:c>
      <x:c r="G67" t="inlineStr">
        <x:is>
          <x:t xml:space="preserve">PolarGear Notebook 2 XL aus der Kategorie Elektronik/Computer. Farbe: grün. Material: Polyester. Gewicht: 0.503 kg.</x:t>
        </x:is>
      </x:c>
      <x:c r="H67" s="2" t="n">
        <x:v>394.23</x:v>
      </x:c>
      <x:c r="I67" s="3" t="n">
        <x:v>429.71</x:v>
      </x:c>
      <x:c r="J67" s="4" t="n">
        <x:v>1.09</x:v>
      </x:c>
      <x:c r="K67" s="5" t="n">
        <x:v>19</x:v>
      </x:c>
      <x:c r="L67" t="n">
        <x:v>95</x:v>
      </x:c>
      <x:c r="M67" s="4" t="n">
        <x:v>0.503</x:v>
      </x:c>
      <x:c r="N67" s="6" t="n">
        <x:v>45.8</x:v>
      </x:c>
      <x:c r="O67" s="6" t="n">
        <x:v>33.1</x:v>
      </x:c>
      <x:c r="P67" s="6" t="n">
        <x:v>7.1</x:v>
      </x:c>
      <x:c r="Q67" t="inlineStr">
        <x:is>
          <x:t xml:space="preserve">grün</x:t>
        </x:is>
      </x:c>
      <x:c r="R67" t="inlineStr">
        <x:is>
          <x:t xml:space="preserve">Polyester</x:t>
        </x:is>
      </x:c>
      <x:c r="S67" t="n">
        <x:v>24</x:v>
      </x:c>
      <x:c r="T67" t="inlineStr">
        <x:is>
          <x:t xml:space="preserve">D</x:t>
        </x:is>
      </x:c>
      <x:c r="U67" t="n">
        <x:v>2042</x:v>
      </x:c>
      <x:c r="V67" t="n">
        <x:v>18</x:v>
      </x:c>
      <x:c r="W67" t="inlineStr">
        <x:is>
          <x:t xml:space="preserve"/>
        </x:is>
      </x:c>
      <x:c r="X67" t="inlineStr">
        <x:is>
          <x:t xml:space="preserve"/>
        </x:is>
      </x:c>
      <x:c r="Y67" t="inlineStr">
        <x:is>
          <x:t xml:space="preserve"/>
        </x:is>
      </x:c>
      <x:c r="Z67" t="inlineStr">
        <x:is>
          <x:t xml:space="preserve"/>
        </x:is>
      </x:c>
      <x:c r="AA67" t="inlineStr">
        <x:is>
          <x:t xml:space="preserve">IT</x:t>
        </x:is>
      </x:c>
      <x:c r="AB67" s="3">
        <x:f>IF(OR(ISBLANK(H67),ISBLANK(J67)),"",ROUND(H67*J67,2))</x:f>
      </x:c>
      <x:c r="AC67" s="5">
        <x:f>IF(OR(ISBLANK(I67),ISBLANK(AB67),AB67=0),"",(I67-AB67)/AB67)</x:f>
      </x:c>
      <x:c r="AD67">
        <x:f>IF(OR(ISBLANK(Y67),ISBLANK(Z67)),"",IF(Z67&gt;Y67,"FEHLER: offen &gt; gesamt","OK"))</x:f>
      </x:c>
    </x:row>
    <x:row r="68">
      <x:c r="A68" t="inlineStr">
        <x:is>
          <x:t xml:space="preserve">P10067</x:t>
        </x:is>
      </x:c>
      <x:c r="B68" t="inlineStr">
        <x:is>
          <x:t xml:space="preserve">SKU-9J98CWN2</x:t>
        </x:is>
      </x:c>
      <x:c r="C68" t="inlineStr">
        <x:is>
          <x:t xml:space="preserve">PolarGear</x:t>
        </x:is>
      </x:c>
      <x:c r="D68" t="inlineStr">
        <x:is>
          <x:t xml:space="preserve">PolarGear Jeans 8 Mini</x:t>
        </x:is>
      </x:c>
      <x:c r="E68" t="inlineStr">
        <x:is>
          <x:t xml:space="preserve">Bekleidung</x:t>
        </x:is>
      </x:c>
      <x:c r="F68" t="inlineStr">
        <x:is>
          <x:t xml:space="preserve">Herren</x:t>
        </x:is>
      </x:c>
      <x:c r="G68" t="inlineStr">
        <x:is>
          <x:t xml:space="preserve">PolarGear Jeans 8 Mini aus der Kategorie Bekleidung/Herren. Farbe: blau. Material: Polyester. Gewicht: 0.383 kg.</x:t>
        </x:is>
      </x:c>
      <x:c r="H68" s="2" t="n">
        <x:v>151.9</x:v>
      </x:c>
      <x:c r="I68" s="3" t="n">
        <x:v>349.37</x:v>
      </x:c>
      <x:c r="J68" s="4" t="n">
        <x:v>1.09</x:v>
      </x:c>
      <x:c r="K68" s="5" t="n">
        <x:v>19</x:v>
      </x:c>
      <x:c r="L68" t="n">
        <x:v>314</x:v>
      </x:c>
      <x:c r="M68" s="4" t="n">
        <x:v>0.383</x:v>
      </x:c>
      <x:c r="N68" s="6" t="n">
        <x:v>39.4</x:v>
      </x:c>
      <x:c r="O68" s="6" t="n">
        <x:v>15.2</x:v>
      </x:c>
      <x:c r="P68" s="6" t="n">
        <x:v>0.5</x:v>
      </x:c>
      <x:c r="Q68" t="inlineStr">
        <x:is>
          <x:t xml:space="preserve">blau</x:t>
        </x:is>
      </x:c>
      <x:c r="R68" t="inlineStr">
        <x:is>
          <x:t xml:space="preserve">Polyester</x:t>
        </x:is>
      </x:c>
      <x:c r="S68" t="n">
        <x:v>0</x:v>
      </x:c>
      <x:c r="T68" t="inlineStr">
        <x:is>
          <x:t xml:space="preserve">A</x:t>
        </x:is>
      </x:c>
      <x:c r="U68" t="inlineStr">
        <x:is>
          <x:t xml:space="preserve"/>
        </x:is>
      </x:c>
      <x:c r="V68" t="inlineStr">
        <x:is>
          <x:t xml:space="preserve"/>
        </x:is>
      </x:c>
      <x:c r="W68" t="inlineStr">
        <x:is>
          <x:t xml:space="preserve">2026-03-02</x:t>
        </x:is>
      </x:c>
      <x:c r="X68" t="inlineStr">
        <x:is>
          <x:t xml:space="preserve"/>
        </x:is>
      </x:c>
      <x:c r="Y68" t="inlineStr">
        <x:is>
          <x:t xml:space="preserve"/>
        </x:is>
      </x:c>
      <x:c r="Z68" t="inlineStr">
        <x:is>
          <x:t xml:space="preserve"/>
        </x:is>
      </x:c>
      <x:c r="AA68" t="inlineStr">
        <x:is>
          <x:t xml:space="preserve">CN</x:t>
        </x:is>
      </x:c>
      <x:c r="AB68" s="3">
        <x:f>IF(OR(ISBLANK(H68),ISBLANK(J68)),"",ROUND(H68*J68,2))</x:f>
      </x:c>
      <x:c r="AC68" s="5">
        <x:f>IF(OR(ISBLANK(I68),ISBLANK(AB68),AB68=0),"",(I68-AB68)/AB68)</x:f>
      </x:c>
      <x:c r="AD68">
        <x:f>IF(OR(ISBLANK(Y68),ISBLANK(Z68)),"",IF(Z68&gt;Y68,"FEHLER: offen &gt; gesamt","OK"))</x:f>
      </x:c>
    </x:row>
    <x:row r="69">
      <x:c r="A69" t="inlineStr">
        <x:is>
          <x:t xml:space="preserve">P10068</x:t>
        </x:is>
      </x:c>
      <x:c r="B69" t="inlineStr">
        <x:is>
          <x:t xml:space="preserve">SKU-OXIE0RNU</x:t>
        </x:is>
      </x:c>
      <x:c r="C69" t="inlineStr">
        <x:is>
          <x:t xml:space="preserve">MünsterWerk</x:t>
        </x:is>
      </x:c>
      <x:c r="D69" t="inlineStr">
        <x:is>
          <x:t xml:space="preserve">MünsterWerk Kaffeemaschine 7</x:t>
        </x:is>
      </x:c>
      <x:c r="F69" t="inlineStr">
        <x:is>
          <x:t xml:space="preserve">Haushaltsgeräte</x:t>
        </x:is>
      </x:c>
      <x:c r="G69" t="inlineStr">
        <x:is>
          <x:t xml:space="preserve">MünsterWerk Kaffeemaschine 7 aus der Kategorie Elektronik/Haushaltsgeräte. Farbe: grün. Material: Holz. Gewicht: 0.359 kg.</x:t>
        </x:is>
      </x:c>
      <x:c r="H69" s="2" t="n">
        <x:v>544.97</x:v>
      </x:c>
      <x:c r="I69" s="3" t="n">
        <x:v>0</x:v>
      </x:c>
      <x:c r="J69" s="4" t="n">
        <x:v>1.09</x:v>
      </x:c>
      <x:c r="K69" s="5" t="n">
        <x:v>19</x:v>
      </x:c>
      <x:c r="L69" t="n">
        <x:v>293</x:v>
      </x:c>
      <x:c r="M69" s="4" t="n">
        <x:v>0.359</x:v>
      </x:c>
      <x:c r="N69" s="6" t="n">
        <x:v>1</x:v>
      </x:c>
      <x:c r="O69" s="6" t="n">
        <x:v>2.3</x:v>
      </x:c>
      <x:c r="P69" s="6" t="n">
        <x:v>24.7</x:v>
      </x:c>
      <x:c r="Q69" t="inlineStr">
        <x:is>
          <x:t xml:space="preserve">grün</x:t>
        </x:is>
      </x:c>
      <x:c r="R69" t="inlineStr">
        <x:is>
          <x:t xml:space="preserve">Holz</x:t>
        </x:is>
      </x:c>
      <x:c r="S69" t="n">
        <x:v>24</x:v>
      </x:c>
      <x:c r="T69" t="inlineStr">
        <x:is>
          <x:t xml:space="preserve">B</x:t>
        </x:is>
      </x:c>
      <x:c r="U69" t="n">
        <x:v>2173</x:v>
      </x:c>
      <x:c r="V69" t="n">
        <x:v>18</x:v>
      </x:c>
      <x:c r="W69" t="inlineStr">
        <x:is>
          <x:t xml:space="preserve"/>
        </x:is>
      </x:c>
      <x:c r="X69" t="inlineStr">
        <x:is>
          <x:t xml:space="preserve"/>
        </x:is>
      </x:c>
      <x:c r="Y69" t="inlineStr">
        <x:is>
          <x:t xml:space="preserve"/>
        </x:is>
      </x:c>
      <x:c r="Z69" t="inlineStr">
        <x:is>
          <x:t xml:space="preserve"/>
        </x:is>
      </x:c>
      <x:c r="AA69" t="inlineStr">
        <x:is>
          <x:t xml:space="preserve">TR</x:t>
        </x:is>
      </x:c>
      <x:c r="AB69" s="3">
        <x:f>IF(OR(ISBLANK(H69),ISBLANK(J69)),"",ROUND(H69*J69,2))</x:f>
      </x:c>
      <x:c r="AC69" s="5">
        <x:f>IF(OR(ISBLANK(I69),ISBLANK(AB69),AB69=0),"",(I69-AB69)/AB69)</x:f>
      </x:c>
      <x:c r="AD69">
        <x:f>IF(OR(ISBLANK(Y69),ISBLANK(Z69)),"",IF(Z69&gt;Y69,"FEHLER: offen &gt; gesamt","OK"))</x:f>
      </x:c>
    </x:row>
    <x:row r="70">
      <x:c r="A70" t="inlineStr">
        <x:is>
          <x:t xml:space="preserve">P10069</x:t>
        </x:is>
      </x:c>
      <x:c r="B70" t="inlineStr">
        <x:is>
          <x:t xml:space="preserve">SKU-YZTKKFZZ</x:t>
        </x:is>
      </x:c>
      <x:c r="C70" t="inlineStr">
        <x:is>
          <x:t xml:space="preserve">MünsterWerk</x:t>
        </x:is>
      </x:c>
      <x:c r="D70" t="inlineStr">
        <x:is>
          <x:t xml:space="preserve">MünsterWerk Puzzle 2 Mini</x:t>
        </x:is>
      </x:c>
      <x:c r="E70" t="inlineStr">
        <x:is>
          <x:t xml:space="preserve">Spielwaren</x:t>
        </x:is>
      </x:c>
      <x:c r="F70" t="inlineStr">
        <x:is>
          <x:t xml:space="preserve">4-8</x:t>
        </x:is>
      </x:c>
      <x:c r="G70" t="inlineStr">
        <x:is>
          <x:t xml:space="preserve">MünsterWerk Puzzle 2 Mini aus der Kategorie Spielwaren/4-8. Farbe: weiß. Material: Aluminium. Gewicht: 0.573 kg.</x:t>
        </x:is>
      </x:c>
      <x:c r="H70" s="2" t="n">
        <x:v>157.29</x:v>
      </x:c>
      <x:c r="I70" s="3" t="n">
        <x:v>171.45</x:v>
      </x:c>
      <x:c r="J70" s="4" t="n">
        <x:v>1.09</x:v>
      </x:c>
      <x:c r="K70" s="5" t="n">
        <x:v>19</x:v>
      </x:c>
      <x:c r="L70" t="n">
        <x:v>163</x:v>
      </x:c>
      <x:c r="M70" s="4" t="n">
        <x:v>0.573</x:v>
      </x:c>
      <x:c r="N70" s="6" t="n">
        <x:v>1</x:v>
      </x:c>
      <x:c r="O70" s="6" t="n">
        <x:v>34.6</x:v>
      </x:c>
      <x:c r="P70" s="6" t="n">
        <x:v>0.5</x:v>
      </x:c>
      <x:c r="Q70" t="inlineStr">
        <x:is>
          <x:t xml:space="preserve">weiß</x:t>
        </x:is>
      </x:c>
      <x:c r="R70" t="inlineStr">
        <x:is>
          <x:t xml:space="preserve">Aluminium</x:t>
        </x:is>
      </x:c>
      <x:c r="S70" t="n">
        <x:v>0</x:v>
      </x:c>
      <x:c r="T70" t="inlineStr">
        <x:is>
          <x:t xml:space="preserve">A</x:t>
        </x:is>
      </x:c>
      <x:c r="U70" t="inlineStr">
        <x:is>
          <x:t xml:space="preserve"/>
        </x:is>
      </x:c>
      <x:c r="V70" t="inlineStr">
        <x:is>
          <x:t xml:space="preserve"/>
        </x:is>
      </x:c>
      <x:c r="W70" t="inlineStr">
        <x:is>
          <x:t xml:space="preserve">2026-03-02</x:t>
        </x:is>
      </x:c>
      <x:c r="X70" t="inlineStr">
        <x:is>
          <x:t xml:space="preserve">4+</x:t>
        </x:is>
      </x:c>
      <x:c r="Y70" t="inlineStr">
        <x:is>
          <x:t xml:space="preserve"/>
        </x:is>
      </x:c>
      <x:c r="Z70" t="inlineStr">
        <x:is>
          <x:t xml:space="preserve"/>
        </x:is>
      </x:c>
      <x:c r="AA70" t="inlineStr">
        <x:is>
          <x:t xml:space="preserve">CN</x:t>
        </x:is>
      </x:c>
      <x:c r="AB70" s="3">
        <x:f>IF(OR(ISBLANK(H70),ISBLANK(J70)),"",ROUND(H70*J70,2))</x:f>
      </x:c>
      <x:c r="AC70" s="5">
        <x:f>IF(OR(ISBLANK(I70),ISBLANK(AB70),AB70=0),"",(I70-AB70)/AB70)</x:f>
      </x:c>
      <x:c r="AD70">
        <x:f>IF(OR(ISBLANK(Y70),ISBLANK(Z70)),"",IF(Z70&gt;Y70,"FEHLER: offen &gt; gesamt","OK"))</x:f>
      </x:c>
    </x:row>
    <x:row r="71">
      <x:c r="A71" t="inlineStr">
        <x:is>
          <x:t xml:space="preserve">P10070</x:t>
        </x:is>
      </x:c>
      <x:c r="B71" t="inlineStr">
        <x:is>
          <x:t xml:space="preserve">SKU-COZROOUE</x:t>
        </x:is>
      </x:c>
      <x:c r="C71" t="inlineStr">
        <x:is>
          <x:t xml:space="preserve">HansaHome</x:t>
        </x:is>
      </x:c>
      <x:c r="D71" t="inlineStr">
        <x:is>
          <x:t xml:space="preserve">HansaHome Akkuschere 1 XL</x:t>
        </x:is>
      </x:c>
      <x:c r="E71" t="inlineStr">
        <x:is>
          <x:t xml:space="preserve">Garten</x:t>
        </x:is>
      </x:c>
      <x:c r="F71" t="inlineStr">
        <x:is>
          <x:t xml:space="preserve">Gartengeräte</x:t>
        </x:is>
      </x:c>
      <x:c r="G71" t="inlineStr">
        <x:is>
          <x:t xml:space="preserve">HansaHome Akkuschere 1 XL aus der Kategorie Garten/Gartengeräte. Farbe: rot. Material: Keramik. Gewicht: 0.219 kg.</x:t>
        </x:is>
      </x:c>
      <x:c r="H71" s="2" t="n">
        <x:v>499.18</x:v>
      </x:c>
      <x:c r="I71" s="3" t="n">
        <x:v>848.61</x:v>
      </x:c>
      <x:c r="J71" s="4" t="n">
        <x:v>1.09</x:v>
      </x:c>
      <x:c r="K71" s="5" t="n">
        <x:v>19</x:v>
      </x:c>
      <x:c r="L71" t="n">
        <x:v>44</x:v>
      </x:c>
      <x:c r="M71" s="4" t="n">
        <x:v>0.219</x:v>
      </x:c>
      <x:c r="N71" s="6" t="n">
        <x:v>63.1</x:v>
      </x:c>
      <x:c r="O71" s="6" t="n">
        <x:v>1</x:v>
      </x:c>
      <x:c r="P71" s="6" t="n">
        <x:v>4.7</x:v>
      </x:c>
      <x:c r="Q71" t="inlineStr">
        <x:is>
          <x:t xml:space="preserve">rot</x:t>
        </x:is>
      </x:c>
      <x:c r="R71" t="inlineStr">
        <x:is>
          <x:t xml:space="preserve">Keramik</x:t>
        </x:is>
      </x:c>
      <x:c r="S71" t="n">
        <x:v>0</x:v>
      </x:c>
      <x:c r="T71" t="inlineStr">
        <x:is>
          <x:t xml:space="preserve"/>
        </x:is>
      </x:c>
      <x:c r="U71" t="inlineStr">
        <x:is>
          <x:t xml:space="preserve"/>
        </x:is>
      </x:c>
      <x:c r="V71" t="inlineStr">
        <x:is>
          <x:t xml:space="preserve"/>
        </x:is>
      </x:c>
      <x:c r="W71" t="inlineStr">
        <x:is>
          <x:t xml:space="preserve"/>
        </x:is>
      </x:c>
      <x:c r="X71" t="inlineStr">
        <x:is>
          <x:t xml:space="preserve"/>
        </x:is>
      </x:c>
      <x:c r="Y71" t="inlineStr">
        <x:is>
          <x:t xml:space="preserve"/>
        </x:is>
      </x:c>
      <x:c r="Z71" t="inlineStr">
        <x:is>
          <x:t xml:space="preserve"/>
        </x:is>
      </x:c>
      <x:c r="AA71" t="inlineStr">
        <x:is>
          <x:t xml:space="preserve">IT</x:t>
        </x:is>
      </x:c>
      <x:c r="AB71" s="3">
        <x:f>IF(OR(ISBLANK(H71),ISBLANK(J71)),"",ROUND(H71*J71,2))</x:f>
      </x:c>
      <x:c r="AC71" s="5">
        <x:f>IF(OR(ISBLANK(I71),ISBLANK(AB71),AB71=0),"",(I71-AB71)/AB71)</x:f>
      </x:c>
      <x:c r="AD71">
        <x:f>IF(OR(ISBLANK(Y71),ISBLANK(Z71)),"",IF(Z71&gt;Y71,"FEHLER: offen &gt; gesamt","OK"))</x:f>
      </x:c>
    </x:row>
    <x:row r="72">
      <x:c r="A72" t="inlineStr">
        <x:is>
          <x:t xml:space="preserve">P10071</x:t>
        </x:is>
      </x:c>
      <x:c r="B72" t="inlineStr">
        <x:is>
          <x:t xml:space="preserve">SKU-FFLZM764</x:t>
        </x:is>
      </x:c>
      <x:c r="C72" t="inlineStr">
        <x:is>
          <x:t xml:space="preserve">FeinKost</x:t>
        </x:is>
      </x:c>
      <x:c r="D72" t="inlineStr">
        <x:is>
          <x:t xml:space="preserve">FeinKost Scheibenwischer 9 Pro</x:t>
        </x:is>
      </x:c>
      <x:c r="E72" t="inlineStr">
        <x:is>
          <x:t xml:space="preserve">Auto</x:t>
        </x:is>
      </x:c>
      <x:c r="F72" t="inlineStr">
        <x:is>
          <x:t xml:space="preserve">Zubehör</x:t>
        </x:is>
      </x:c>
      <x:c r="G72" t="inlineStr">
        <x:is>
          <x:t xml:space="preserve">FeinKost Scheibenwischer 9 Pro aus der Kategorie Auto/Zubehör. Farbe: grün. Material: Aluminium. Gewicht: 1.852 kg.</x:t>
        </x:is>
      </x:c>
      <x:c r="H72" s="2" t="n">
        <x:v>690.8200000000001</x:v>
      </x:c>
      <x:c r="I72" s="3" t="n">
        <x:v>752.99</x:v>
      </x:c>
      <x:c r="J72" s="4" t="n">
        <x:v>1.09</x:v>
      </x:c>
      <x:c r="K72" s="5" t="n">
        <x:v>19</x:v>
      </x:c>
      <x:c r="L72" t="n">
        <x:v>265</x:v>
      </x:c>
      <x:c r="M72" s="4" t="n">
        <x:v>1.852</x:v>
      </x:c>
      <x:c r="N72" s="6" t="n">
        <x:v>51.4</x:v>
      </x:c>
      <x:c r="O72" s="6" t="n">
        <x:v>39.1</x:v>
      </x:c>
      <x:c r="P72" s="6" t="n">
        <x:v>0.5</x:v>
      </x:c>
      <x:c r="Q72" t="inlineStr">
        <x:is>
          <x:t xml:space="preserve">grün</x:t>
        </x:is>
      </x:c>
      <x:c r="R72" t="inlineStr">
        <x:is>
          <x:t xml:space="preserve">Aluminium</x:t>
        </x:is>
      </x:c>
      <x:c r="S72" t="n">
        <x:v>24</x:v>
      </x:c>
      <x:c r="T72" t="inlineStr">
        <x:is>
          <x:t xml:space="preserve"/>
        </x:is>
      </x:c>
      <x:c r="U72" t="inlineStr">
        <x:is>
          <x:t xml:space="preserve"/>
        </x:is>
      </x:c>
      <x:c r="V72" t="inlineStr">
        <x:is>
          <x:t xml:space="preserve"/>
        </x:is>
      </x:c>
      <x:c r="W72" t="inlineStr">
        <x:is>
          <x:t xml:space="preserve"/>
        </x:is>
      </x:c>
      <x:c r="X72" t="inlineStr">
        <x:is>
          <x:t xml:space="preserve"/>
        </x:is>
      </x:c>
      <x:c r="Y72" t="inlineStr">
        <x:is>
          <x:t xml:space="preserve"/>
        </x:is>
      </x:c>
      <x:c r="Z72" t="inlineStr">
        <x:is>
          <x:t xml:space="preserve"/>
        </x:is>
      </x:c>
      <x:c r="AA72" t="inlineStr">
        <x:is>
          <x:t xml:space="preserve">TR</x:t>
        </x:is>
      </x:c>
      <x:c r="AB72" s="3">
        <x:f>IF(OR(ISBLANK(H72),ISBLANK(J72)),"",ROUND(H72*J72,2))</x:f>
      </x:c>
      <x:c r="AC72" s="5">
        <x:f>IF(OR(ISBLANK(I72),ISBLANK(AB72),AB72=0),"",(I72-AB72)/AB72)</x:f>
      </x:c>
      <x:c r="AD72">
        <x:f>IF(OR(ISBLANK(Y72),ISBLANK(Z72)),"",IF(Z72&gt;Y72,"FEHLER: offen &gt; gesamt","OK"))</x:f>
      </x:c>
    </x:row>
    <x:row r="73">
      <x:c r="A73" t="inlineStr">
        <x:is>
          <x:t xml:space="preserve">P10072</x:t>
        </x:is>
      </x:c>
      <x:c r="B73" t="inlineStr">
        <x:is>
          <x:t xml:space="preserve">SKU-M7B5C81J</x:t>
        </x:is>
      </x:c>
      <x:c r="C73" t="inlineStr">
        <x:is>
          <x:t xml:space="preserve">AlpenFit</x:t>
        </x:is>
      </x:c>
      <x:c r="D73" t="inlineStr">
        <x:is>
          <x:t xml:space="preserve">AlpenFit Joghurt 9</x:t>
        </x:is>
      </x:c>
      <x:c r="E73" t="inlineStr">
        <x:is>
          <x:t xml:space="preserve">Lebensmittel</x:t>
        </x:is>
      </x:c>
      <x:c r="F73" t="inlineStr">
        <x:is>
          <x:t xml:space="preserve">Frische</x:t>
        </x:is>
      </x:c>
      <x:c r="G73" t="inlineStr">
        <x:is>
          <x:t xml:space="preserve">AlpenFit Joghurt 9 aus der Kategorie Lebensmittel/Frische. Farbe: silber. Material: Polyester. Gewicht: 2.133 kg.</x:t>
        </x:is>
      </x:c>
      <x:c r="H73" s="2" t="n">
        <x:v>453.06</x:v>
      </x:c>
      <x:c r="I73" s="3" t="n">
        <x:v>226.53</x:v>
      </x:c>
      <x:c r="J73" s="4" t="n">
        <x:v>1.09</x:v>
      </x:c>
      <x:c r="K73" s="5" t="n">
        <x:v>7</x:v>
      </x:c>
      <x:c r="L73" t="n">
        <x:v>368</x:v>
      </x:c>
      <x:c r="M73" s="4" t="n">
        <x:v>2.133</x:v>
      </x:c>
      <x:c r="N73" s="6" t="n">
        <x:v>82</x:v>
      </x:c>
      <x:c r="O73" s="6" t="n">
        <x:v>32.5</x:v>
      </x:c>
      <x:c r="P73" s="6" t="n">
        <x:v>24.5</x:v>
      </x:c>
      <x:c r="Q73" t="inlineStr">
        <x:is>
          <x:t xml:space="preserve">silber</x:t>
        </x:is>
      </x:c>
      <x:c r="R73" t="inlineStr">
        <x:is>
          <x:t xml:space="preserve">Polyester</x:t>
        </x:is>
      </x:c>
      <x:c r="S73" t="n">
        <x:v>0</x:v>
      </x:c>
      <x:c r="T73" t="inlineStr">
        <x:is>
          <x:t xml:space="preserve">B</x:t>
        </x:is>
      </x:c>
      <x:c r="U73" t="inlineStr">
        <x:is>
          <x:t xml:space="preserve"/>
        </x:is>
      </x:c>
      <x:c r="V73" t="inlineStr">
        <x:is>
          <x:t xml:space="preserve"/>
        </x:is>
      </x:c>
      <x:c r="W73" t="inlineStr">
        <x:is>
          <x:t xml:space="preserve">2026-11-26</x:t>
        </x:is>
      </x:c>
      <x:c r="X73" t="inlineStr">
        <x:is>
          <x:t xml:space="preserve"/>
        </x:is>
      </x:c>
      <x:c r="Y73" t="inlineStr">
        <x:is>
          <x:t xml:space="preserve"/>
        </x:is>
      </x:c>
      <x:c r="Z73" t="inlineStr">
        <x:is>
          <x:t xml:space="preserve"/>
        </x:is>
      </x:c>
      <x:c r="AA73" t="inlineStr">
        <x:is>
          <x:t xml:space="preserve">VN</x:t>
        </x:is>
      </x:c>
      <x:c r="AB73" s="3">
        <x:f>IF(OR(ISBLANK(H73),ISBLANK(J73)),"",ROUND(H73*J73,2))</x:f>
      </x:c>
      <x:c r="AC73" s="5">
        <x:f>IF(OR(ISBLANK(I73),ISBLANK(AB73),AB73=0),"",(I73-AB73)/AB73)</x:f>
      </x:c>
      <x:c r="AD73">
        <x:f>IF(OR(ISBLANK(Y73),ISBLANK(Z73)),"",IF(Z73&gt;Y73,"FEHLER: offen &gt; gesamt","OK"))</x:f>
      </x:c>
    </x:row>
    <x:row r="74">
      <x:c r="A74" t="inlineStr">
        <x:is>
          <x:t xml:space="preserve">P10073</x:t>
        </x:is>
      </x:c>
      <x:c r="B74" t="inlineStr">
        <x:is>
          <x:t xml:space="preserve">SKU-OQMF5L9M</x:t>
        </x:is>
      </x:c>
      <x:c r="C74" t="inlineStr">
        <x:is>
          <x:t xml:space="preserve">FeinKost</x:t>
        </x:is>
      </x:c>
      <x:c r="D74" t="inlineStr">
        <x:is>
          <x:t xml:space="preserve">FeinKost Schraubenset 8 Pro</x:t>
        </x:is>
      </x:c>
      <x:c r="E74" t="inlineStr">
        <x:is>
          <x:t xml:space="preserve">Baumarkt</x:t>
        </x:is>
      </x:c>
      <x:c r="F74" t="inlineStr">
        <x:is>
          <x:t xml:space="preserve">Schrauben &amp; Nägel</x:t>
        </x:is>
      </x:c>
      <x:c r="G74" t="inlineStr">
        <x:is>
          <x:t xml:space="preserve">FeinKost Schraubenset 8 Pro aus der Kategorie Baumarkt/Schrauben &amp; Nägel. Farbe: blau. Material: Polyester. Gewicht: 0.933 kg.</x:t>
        </x:is>
      </x:c>
      <x:c r="H74" s="2" t="n">
        <x:v>723.9</x:v>
      </x:c>
      <x:c r="I74" s="3" t="n">
        <x:v>789.05</x:v>
      </x:c>
      <x:c r="J74" s="4" t="n">
        <x:v>1.09</x:v>
      </x:c>
      <x:c r="K74" s="5" t="n">
        <x:v>19</x:v>
      </x:c>
      <x:c r="L74" t="n">
        <x:v>225</x:v>
      </x:c>
      <x:c r="M74" s="4" t="n">
        <x:v>0.9330000000000001</x:v>
      </x:c>
      <x:c r="N74" s="6" t="n">
        <x:v>10.7</x:v>
      </x:c>
      <x:c r="O74" s="6" t="n">
        <x:v>24.7</x:v>
      </x:c>
      <x:c r="P74" s="6" t="n">
        <x:v>11.9</x:v>
      </x:c>
      <x:c r="Q74" t="inlineStr">
        <x:is>
          <x:t xml:space="preserve">blau</x:t>
        </x:is>
      </x:c>
      <x:c r="R74" t="inlineStr">
        <x:is>
          <x:t xml:space="preserve">Polyester</x:t>
        </x:is>
      </x:c>
      <x:c r="S74" t="n">
        <x:v>24</x:v>
      </x:c>
      <x:c r="T74" t="inlineStr">
        <x:is>
          <x:t xml:space="preserve"/>
        </x:is>
      </x:c>
      <x:c r="U74" t="inlineStr">
        <x:is>
          <x:t xml:space="preserve"/>
        </x:is>
      </x:c>
      <x:c r="V74" t="inlineStr">
        <x:is>
          <x:t xml:space="preserve"/>
        </x:is>
      </x:c>
      <x:c r="W74" t="inlineStr">
        <x:is>
          <x:t xml:space="preserve"/>
        </x:is>
      </x:c>
      <x:c r="X74" t="inlineStr">
        <x:is>
          <x:t xml:space="preserve"/>
        </x:is>
      </x:c>
      <x:c r="Y74" t="inlineStr">
        <x:is>
          <x:t xml:space="preserve"/>
        </x:is>
      </x:c>
      <x:c r="Z74" t="inlineStr">
        <x:is>
          <x:t xml:space="preserve"/>
        </x:is>
      </x:c>
      <x:c r="AA74" t="inlineStr">
        <x:is>
          <x:t xml:space="preserve">ES</x:t>
        </x:is>
      </x:c>
      <x:c r="AB74" s="3">
        <x:f>IF(OR(ISBLANK(H74),ISBLANK(J74)),"",ROUND(H74*J74,2))</x:f>
      </x:c>
      <x:c r="AC74" s="5">
        <x:f>IF(OR(ISBLANK(I74),ISBLANK(AB74),AB74=0),"",(I74-AB74)/AB74)</x:f>
      </x:c>
      <x:c r="AD74">
        <x:f>IF(OR(ISBLANK(Y74),ISBLANK(Z74)),"",IF(Z74&gt;Y74,"FEHLER: offen &gt; gesamt","OK"))</x:f>
      </x:c>
    </x:row>
    <x:row r="75">
      <x:c r="A75" t="inlineStr">
        <x:is>
          <x:t xml:space="preserve">P10074</x:t>
        </x:is>
      </x:c>
      <x:c r="B75" t="inlineStr">
        <x:is>
          <x:t xml:space="preserve">SKU-5P8637ZG</x:t>
        </x:is>
      </x:c>
      <x:c r="C75" t="inlineStr">
        <x:is>
          <x:t xml:space="preserve">FeinKost</x:t>
        </x:is>
      </x:c>
      <x:c r="D75" t="inlineStr">
        <x:is>
          <x:t xml:space="preserve">FeinKost Regenjacke 6 Pro</x:t>
        </x:is>
      </x:c>
      <x:c r="E75" t="inlineStr">
        <x:is>
          <x:t xml:space="preserve">Bekleidung</x:t>
        </x:is>
      </x:c>
      <x:c r="F75" t="inlineStr">
        <x:is>
          <x:t xml:space="preserve">Kinder</x:t>
        </x:is>
      </x:c>
      <x:c r="G75" t="inlineStr">
        <x:is>
          <x:t xml:space="preserve">FeinKost Regenjacke 6 Pro aus der Kategorie Bekleidung/Kinder. Farbe: beige. Material: Edelstahl. Gewicht: 1.134 kg.</x:t>
        </x:is>
      </x:c>
      <x:c r="H75" s="2" t="n">
        <x:v>420.69</x:v>
      </x:c>
      <x:c r="I75" s="3" t="n">
        <x:v>458.55</x:v>
      </x:c>
      <x:c r="J75" s="4" t="n">
        <x:v>1.09</x:v>
      </x:c>
      <x:c r="K75" s="5" t="n">
        <x:v>19</x:v>
      </x:c>
      <x:c r="L75" t="n">
        <x:v>196</x:v>
      </x:c>
      <x:c r="M75" s="4" t="n">
        <x:v>1.134</x:v>
      </x:c>
      <x:c r="N75" s="6" t="n">
        <x:v>48.8</x:v>
      </x:c>
      <x:c r="O75" s="6" t="n">
        <x:v>30.2</x:v>
      </x:c>
      <x:c r="P75" s="6" t="n">
        <x:v>15.7</x:v>
      </x:c>
      <x:c r="Q75" t="inlineStr">
        <x:is>
          <x:t xml:space="preserve">beige</x:t>
        </x:is>
      </x:c>
      <x:c r="R75" t="inlineStr">
        <x:is>
          <x:t xml:space="preserve">Edelstahl</x:t>
        </x:is>
      </x:c>
      <x:c r="S75" t="n">
        <x:v>0</x:v>
      </x:c>
      <x:c r="T75" t="inlineStr">
        <x:is>
          <x:t xml:space="preserve">B</x:t>
        </x:is>
      </x:c>
      <x:c r="U75" t="inlineStr">
        <x:is>
          <x:t xml:space="preserve"/>
        </x:is>
      </x:c>
      <x:c r="V75" t="inlineStr">
        <x:is>
          <x:t xml:space="preserve"/>
        </x:is>
      </x:c>
      <x:c r="W75" t="inlineStr">
        <x:is>
          <x:t xml:space="preserve"/>
        </x:is>
      </x:c>
      <x:c r="X75" t="inlineStr">
        <x:is>
          <x:t xml:space="preserve"/>
        </x:is>
      </x:c>
      <x:c r="Y75" t="inlineStr">
        <x:is>
          <x:t xml:space="preserve"/>
        </x:is>
      </x:c>
      <x:c r="Z75" t="inlineStr">
        <x:is>
          <x:t xml:space="preserve"/>
        </x:is>
      </x:c>
      <x:c r="AA75" t="inlineStr">
        <x:is>
          <x:t xml:space="preserve">CN</x:t>
        </x:is>
      </x:c>
      <x:c r="AB75" s="3">
        <x:f>IF(OR(ISBLANK(H75),ISBLANK(J75)),"",ROUND(H75*J75,2))</x:f>
      </x:c>
      <x:c r="AC75" s="5">
        <x:f>IF(OR(ISBLANK(I75),ISBLANK(AB75),AB75=0),"",(I75-AB75)/AB75)</x:f>
      </x:c>
      <x:c r="AD75">
        <x:f>IF(OR(ISBLANK(Y75),ISBLANK(Z75)),"",IF(Z75&gt;Y75,"FEHLER: offen &gt; gesamt","OK"))</x:f>
      </x:c>
    </x:row>
    <x:row r="76">
      <x:c r="A76" t="inlineStr">
        <x:is>
          <x:t xml:space="preserve">P10075</x:t>
        </x:is>
      </x:c>
      <x:c r="B76" t="inlineStr">
        <x:is>
          <x:t xml:space="preserve">SKU-V4YKADEJ</x:t>
        </x:is>
      </x:c>
      <x:c r="C76" t="inlineStr">
        <x:is>
          <x:t xml:space="preserve">AlpenFit</x:t>
        </x:is>
      </x:c>
      <x:c r="D76" t="inlineStr">
        <x:is>
          <x:t xml:space="preserve">AlpenFit Puzzle 2 Mini</x:t>
        </x:is>
      </x:c>
      <x:c r="E76" t="inlineStr">
        <x:is>
          <x:t xml:space="preserve">Spielwaren</x:t>
        </x:is>
      </x:c>
      <x:c r="F76" t="inlineStr">
        <x:is>
          <x:t xml:space="preserve">4-8</x:t>
        </x:is>
      </x:c>
      <x:c r="G76" t="inlineStr">
        <x:is>
          <x:t xml:space="preserve">AlpenFit Puzzle 2 Mini aus der Kategorie Spielwaren/4-8. Farbe: grau. Material: Kunststoff. Gewicht: 1.745 kg.</x:t>
        </x:is>
      </x:c>
      <x:c r="H76" s="2" t="n">
        <x:v>455.63</x:v>
      </x:c>
      <x:c r="I76" s="3" t="n">
        <x:v>496.64</x:v>
      </x:c>
      <x:c r="J76" s="4" t="n">
        <x:v>1.09</x:v>
      </x:c>
      <x:c r="K76" s="5" t="n">
        <x:v>19</x:v>
      </x:c>
      <x:c r="L76" t="n">
        <x:v>253</x:v>
      </x:c>
      <x:c r="M76" s="4" t="n">
        <x:v>1.745</x:v>
      </x:c>
      <x:c r="N76" s="6" t="n">
        <x:v>26.4</x:v>
      </x:c>
      <x:c r="O76" s="6" t="n">
        <x:v>17.1</x:v>
      </x:c>
      <x:c r="P76" s="6" t="n">
        <x:v>0.001</x:v>
      </x:c>
      <x:c r="Q76" t="inlineStr">
        <x:is>
          <x:t xml:space="preserve">grau</x:t>
        </x:is>
      </x:c>
      <x:c r="R76" t="inlineStr">
        <x:is>
          <x:t xml:space="preserve">Kunststoff</x:t>
        </x:is>
      </x:c>
      <x:c r="S76" t="n">
        <x:v>0</x:v>
      </x:c>
      <x:c r="T76" t="inlineStr">
        <x:is>
          <x:t xml:space="preserve"/>
        </x:is>
      </x:c>
      <x:c r="U76" t="inlineStr">
        <x:is>
          <x:t xml:space="preserve"/>
        </x:is>
      </x:c>
      <x:c r="V76" t="inlineStr">
        <x:is>
          <x:t xml:space="preserve"/>
        </x:is>
      </x:c>
      <x:c r="W76" t="inlineStr">
        <x:is>
          <x:t xml:space="preserve"/>
        </x:is>
      </x:c>
      <x:c r="X76" t="inlineStr">
        <x:is>
          <x:t xml:space="preserve">4+</x:t>
        </x:is>
      </x:c>
      <x:c r="Y76" t="inlineStr">
        <x:is>
          <x:t xml:space="preserve"/>
        </x:is>
      </x:c>
      <x:c r="Z76" t="inlineStr">
        <x:is>
          <x:t xml:space="preserve"/>
        </x:is>
      </x:c>
      <x:c r="AA76" t="inlineStr">
        <x:is>
          <x:t xml:space="preserve">IT</x:t>
        </x:is>
      </x:c>
      <x:c r="AB76" s="3">
        <x:f>IF(OR(ISBLANK(H76),ISBLANK(J76)),"",ROUND(H76*J76,2))</x:f>
      </x:c>
      <x:c r="AC76" s="5">
        <x:f>IF(OR(ISBLANK(I76),ISBLANK(AB76),AB76=0),"",(I76-AB76)/AB76)</x:f>
      </x:c>
      <x:c r="AD76">
        <x:f>IF(OR(ISBLANK(Y76),ISBLANK(Z76)),"",IF(Z76&gt;Y76,"FEHLER: offen &gt; gesamt","OK"))</x:f>
      </x:c>
    </x:row>
    <x:row r="77">
      <x:c r="A77" t="inlineStr">
        <x:is>
          <x:t xml:space="preserve">P10076</x:t>
        </x:is>
      </x:c>
      <x:c r="B77" t="inlineStr">
        <x:is>
          <x:t xml:space="preserve">SKU-EDN9UNFV</x:t>
        </x:is>
      </x:c>
      <x:c r="C77" t="inlineStr">
        <x:is>
          <x:t xml:space="preserve">MünsterWerk</x:t>
        </x:is>
      </x:c>
      <x:c r="D77" t="inlineStr">
        <x:is>
          <x:t xml:space="preserve">MünsterWerk Joghurt 5</x:t>
        </x:is>
      </x:c>
      <x:c r="E77" t="inlineStr">
        <x:is>
          <x:t xml:space="preserve">Lebensmittel</x:t>
        </x:is>
      </x:c>
      <x:c r="F77" t="inlineStr">
        <x:is>
          <x:t xml:space="preserve">Frische</x:t>
        </x:is>
      </x:c>
      <x:c r="G77" t="inlineStr">
        <x:is>
          <x:t xml:space="preserve">MünsteerWerk Joghurt 5 aus der Kategorie Lebensmittel/Frische. Farbe: grün. Material: Gummi. Gewicht: 0.238 kg.</x:t>
        </x:is>
      </x:c>
      <x:c r="H77" s="2" t="n">
        <x:v>348.86</x:v>
      </x:c>
      <x:c r="I77" s="3" t="n">
        <x:v>380.26</x:v>
      </x:c>
      <x:c r="J77" s="4" t="n">
        <x:v>1.09</x:v>
      </x:c>
      <x:c r="K77" s="5" t="n">
        <x:v>7</x:v>
      </x:c>
      <x:c r="L77" t="n">
        <x:v>312</x:v>
      </x:c>
      <x:c r="M77" s="4" t="n">
        <x:v>0.238</x:v>
      </x:c>
      <x:c r="N77" s="6" t="n">
        <x:v>39.7</x:v>
      </x:c>
      <x:c r="O77" s="6" t="n">
        <x:v>29.6</x:v>
      </x:c>
      <x:c r="P77" s="6" t="n">
        <x:v>0.5</x:v>
      </x:c>
      <x:c r="Q77" t="inlineStr">
        <x:is>
          <x:t xml:space="preserve">grün</x:t>
        </x:is>
      </x:c>
      <x:c r="R77" t="inlineStr">
        <x:is>
          <x:t xml:space="preserve">Gummi</x:t>
        </x:is>
      </x:c>
      <x:c r="S77" t="n">
        <x:v>0</x:v>
      </x:c>
      <x:c r="T77" t="inlineStr">
        <x:is>
          <x:t xml:space="preserve"/>
        </x:is>
      </x:c>
      <x:c r="U77" t="inlineStr">
        <x:is>
          <x:t xml:space="preserve"/>
        </x:is>
      </x:c>
      <x:c r="V77" t="inlineStr">
        <x:is>
          <x:t xml:space="preserve"/>
        </x:is>
      </x:c>
      <x:c r="W77" t="inlineStr">
        <x:is>
          <x:t xml:space="preserve">2026-03-22</x:t>
        </x:is>
      </x:c>
      <x:c r="X77" t="inlineStr">
        <x:is>
          <x:t xml:space="preserve"/>
        </x:is>
      </x:c>
      <x:c r="Y77" t="inlineStr">
        <x:is>
          <x:t xml:space="preserve"/>
        </x:is>
      </x:c>
      <x:c r="Z77" t="inlineStr">
        <x:is>
          <x:t xml:space="preserve"/>
        </x:is>
      </x:c>
      <x:c r="AA77" t="inlineStr">
        <x:is>
          <x:t xml:space="preserve">ES</x:t>
        </x:is>
      </x:c>
      <x:c r="AB77" s="3">
        <x:f>IF(OR(ISBLANK(H77),ISBLANK(J77)),"",ROUND(H77*J77,2))</x:f>
      </x:c>
      <x:c r="AC77" s="5">
        <x:f>IF(OR(ISBLANK(I77),ISBLANK(AB77),AB77=0),"",(I77-AB77)/AB77)</x:f>
      </x:c>
      <x:c r="AD77">
        <x:f>IF(OR(ISBLANK(Y77),ISBLANK(Z77)),"",IF(Z77&gt;Y77,"FEHLER: offen &gt; gesamt","OK"))</x:f>
      </x:c>
    </x:row>
    <x:row r="78">
      <x:c r="A78" t="inlineStr">
        <x:is>
          <x:t xml:space="preserve">P10077</x:t>
        </x:is>
      </x:c>
      <x:c r="B78" t="inlineStr">
        <x:is>
          <x:t xml:space="preserve">SKU-0KM3TZK3</x:t>
        </x:is>
      </x:c>
      <x:c r="C78" t="inlineStr">
        <x:is>
          <x:t xml:space="preserve">UrbanLine</x:t>
        </x:is>
      </x:c>
      <x:c r="D78" t="inlineStr">
        <x:is>
          <x:t xml:space="preserve">UrbanLine Staubsaugerbeutel 9 Mini</x:t>
        </x:is>
      </x:c>
      <x:c r="E78" t="inlineStr">
        <x:is>
          <x:t xml:space="preserve">Haushalt</x:t>
        </x:is>
      </x:c>
      <x:c r="F78" t="inlineStr">
        <x:is>
          <x:t xml:space="preserve">Reinigung</x:t>
        </x:is>
      </x:c>
      <x:c r="G78" t="inlineStr">
        <x:is>
          <x:t xml:space="preserve">UrbanLine Staubsaugerbeutel 9 Mini aus der Kategorie Haushalt/Reinigung. Farbe: grün. Material: Keramik. Gewicht: 1.544 kg.</x:t>
        </x:is>
      </x:c>
      <x:c r="H78" s="2" t="n">
        <x:v>136.03</x:v>
      </x:c>
      <x:c r="I78" s="3" t="n">
        <x:v>148.27</x:v>
      </x:c>
      <x:c r="J78" s="4" t="n">
        <x:v>1.09</x:v>
      </x:c>
      <x:c r="K78" s="5" t="n">
        <x:v>19</x:v>
      </x:c>
      <x:c r="L78" t="n">
        <x:v>201</x:v>
      </x:c>
      <x:c r="M78" s="4" t="n">
        <x:v>1.544</x:v>
      </x:c>
      <x:c r="N78" s="6" t="n">
        <x:v>21.5</x:v>
      </x:c>
      <x:c r="O78" s="6" t="n">
        <x:v>31.9</x:v>
      </x:c>
      <x:c r="P78" s="6" t="n">
        <x:v>5.6</x:v>
      </x:c>
      <x:c r="Q78" t="inlineStr">
        <x:is>
          <x:t xml:space="preserve">grün</x:t>
        </x:is>
      </x:c>
      <x:c r="R78" t="inlineStr">
        <x:is>
          <x:t xml:space="preserve">Keramik</x:t>
        </x:is>
      </x:c>
      <x:c r="S78" t="n">
        <x:v>24</x:v>
      </x:c>
      <x:c r="T78" t="inlineStr">
        <x:is>
          <x:t xml:space="preserve">E</x:t>
        </x:is>
      </x:c>
      <x:c r="U78" t="inlineStr">
        <x:is>
          <x:t xml:space="preserve"/>
        </x:is>
      </x:c>
      <x:c r="V78" t="inlineStr">
        <x:is>
          <x:t xml:space="preserve"/>
        </x:is>
      </x:c>
      <x:c r="W78" t="inlineStr">
        <x:is>
          <x:t xml:space="preserve"/>
        </x:is>
      </x:c>
      <x:c r="X78" t="inlineStr">
        <x:is>
          <x:t xml:space="preserve"/>
        </x:is>
      </x:c>
      <x:c r="Y78" t="inlineStr">
        <x:is>
          <x:t xml:space="preserve"/>
        </x:is>
      </x:c>
      <x:c r="Z78" t="inlineStr">
        <x:is>
          <x:t xml:space="preserve"/>
        </x:is>
      </x:c>
      <x:c r="AA78" t="inlineStr">
        <x:is>
          <x:t xml:space="preserve">IT</x:t>
        </x:is>
      </x:c>
      <x:c r="AB78" s="3">
        <x:f>IF(OR(ISBLANK(H78),ISBLANK(J78)),"",ROUND(H78*J78,2))</x:f>
      </x:c>
      <x:c r="AC78" s="5">
        <x:f>IF(OR(ISBLANK(I78),ISBLANK(AB78),AB78=0),"",(I78-AB78)/AB78)</x:f>
      </x:c>
      <x:c r="AD78">
        <x:f>IF(OR(ISBLANK(Y78),ISBLANK(Z78)),"",IF(Z78&gt;Y78,"FEHLER: offen &gt; gesamt","OK"))</x:f>
      </x:c>
    </x:row>
    <x:row r="79">
      <x:c r="A79" t="inlineStr">
        <x:is>
          <x:t xml:space="preserve">P10078</x:t>
        </x:is>
      </x:c>
      <x:c r="B79" t="inlineStr">
        <x:is>
          <x:t xml:space="preserve">SKU-GWW4FYB8</x:t>
        </x:is>
      </x:c>
      <x:c r="C79" t="inlineStr">
        <x:is>
          <x:t xml:space="preserve">AlpenFit</x:t>
        </x:is>
      </x:c>
      <x:c r="D79" t="inlineStr">
        <x:is>
          <x:t xml:space="preserve">AlpenFit Pasta 8 XL</x:t>
        </x:is>
      </x:c>
      <x:c r="E79" t="inlineStr">
        <x:is>
          <x:t xml:space="preserve">Lebensmittel</x:t>
        </x:is>
      </x:c>
      <x:c r="F79" t="inlineStr">
        <x:is>
          <x:t xml:space="preserve">Trocken</x:t>
        </x:is>
      </x:c>
      <x:c r="G79" t="inlineStr">
        <x:is>
          <x:t xml:space="preserve">AlpenFit Pasta 8 XL aus der Kategorie Lebensmittel/Trocken. Farbe: schwarz. Material: Leder. Gewicht: 1.484 kg.</x:t>
        </x:is>
      </x:c>
      <x:c r="H79" s="2" t="n">
        <x:v>869.48</x:v>
      </x:c>
      <x:c r="I79" s="3" t="n">
        <x:v>947.73</x:v>
      </x:c>
      <x:c r="J79" s="4" t="n">
        <x:v>1.09</x:v>
      </x:c>
      <x:c r="K79" s="5" t="n">
        <x:v>7</x:v>
      </x:c>
      <x:c r="L79" t="n">
        <x:v>298</x:v>
      </x:c>
      <x:c r="M79" s="4" t="n">
        <x:v>1.484</x:v>
      </x:c>
      <x:c r="N79" s="6" t="n">
        <x:v>1</x:v>
      </x:c>
      <x:c r="O79" s="6" t="n">
        <x:v>1</x:v>
      </x:c>
      <x:c r="P79" s="6" t="n">
        <x:v>1</x:v>
      </x:c>
      <x:c r="Q79" t="inlineStr">
        <x:is>
          <x:t xml:space="preserve">schwarz</x:t>
        </x:is>
      </x:c>
      <x:c r="R79" t="inlineStr">
        <x:is>
          <x:t xml:space="preserve">Leder</x:t>
        </x:is>
      </x:c>
      <x:c r="S79" t="n">
        <x:v>0</x:v>
      </x:c>
      <x:c r="T79" t="inlineStr">
        <x:is>
          <x:t xml:space="preserve"/>
        </x:is>
      </x:c>
      <x:c r="U79" t="inlineStr">
        <x:is>
          <x:t xml:space="preserve"/>
        </x:is>
      </x:c>
      <x:c r="V79" t="inlineStr">
        <x:is>
          <x:t xml:space="preserve"/>
        </x:is>
      </x:c>
      <x:c r="W79" t="inlineStr">
        <x:is>
          <x:t xml:space="preserve">2026-09-23</x:t>
        </x:is>
      </x:c>
      <x:c r="X79" t="inlineStr">
        <x:is>
          <x:t xml:space="preserve"/>
        </x:is>
      </x:c>
      <x:c r="Y79" t="inlineStr">
        <x:is>
          <x:t xml:space="preserve"/>
        </x:is>
      </x:c>
      <x:c r="Z79" t="inlineStr">
        <x:is>
          <x:t xml:space="preserve"/>
        </x:is>
      </x:c>
      <x:c r="AA79" t="inlineStr">
        <x:is>
          <x:t xml:space="preserve">PL</x:t>
        </x:is>
      </x:c>
      <x:c r="AB79" s="3">
        <x:f>IF(OR(ISBLANK(H79),ISBLANK(J79)),"",ROUND(H79*J79,2))</x:f>
      </x:c>
      <x:c r="AC79" s="5">
        <x:f>IF(OR(ISBLANK(I79),ISBLANK(AB79),AB79=0),"",(I79-AB79)/AB79)</x:f>
      </x:c>
      <x:c r="AD79">
        <x:f>IF(OR(ISBLANK(Y79),ISBLANK(Z79)),"",IF(Z79&gt;Y79,"FEHLER: offen &gt; gesamt","OK"))</x:f>
      </x:c>
    </x:row>
    <x:row r="80">
      <x:c r="A80" t="inlineStr">
        <x:is>
          <x:t xml:space="preserve">P10079</x:t>
        </x:is>
      </x:c>
      <x:c r="B80" t="inlineStr">
        <x:is>
          <x:t xml:space="preserve">SKU-ZSU9RN8Q</x:t>
        </x:is>
      </x:c>
      <x:c r="C80" t="inlineStr">
        <x:is>
          <x:t xml:space="preserve">KüstenKlang</x:t>
        </x:is>
      </x:c>
      <x:c r="D80" t="inlineStr">
        <x:is>
          <x:t xml:space="preserve">KüstenKlang Holzbausteine 7 Pro</x:t>
        </x:is>
      </x:c>
      <x:c r="E80" t="inlineStr">
        <x:is>
          <x:t xml:space="preserve">Spielwaren</x:t>
        </x:is>
      </x:c>
      <x:c r="F80" t="inlineStr">
        <x:is>
          <x:t xml:space="preserve">0-3</x:t>
        </x:is>
      </x:c>
      <x:c r="G80" t="inlineStr">
        <x:is>
          <x:t xml:space="preserve">KüstenKlang Holzbausteine 7 Pro aus der Kategorie Spielwaren/0-3. Farbe: gelb. Material: Aluminium. Gewicht: 1.481 kg.</x:t>
        </x:is>
      </x:c>
      <x:c r="H80" s="2" t="n"/>
      <x:c r="I80" s="3" t="n">
        <x:v>403.74</x:v>
      </x:c>
      <x:c r="J80" s="4" t="n">
        <x:v>1.09</x:v>
      </x:c>
      <x:c r="K80" s="5" t="n">
        <x:v>19</x:v>
      </x:c>
      <x:c r="L80" t="n">
        <x:v>31</x:v>
      </x:c>
      <x:c r="M80" s="4" t="n">
        <x:v>1.481</x:v>
      </x:c>
      <x:c r="N80" s="6" t="n">
        <x:v>1</x:v>
      </x:c>
      <x:c r="O80" s="6" t="n">
        <x:v>37.1</x:v>
      </x:c>
      <x:c r="P80" s="6" t="n">
        <x:v>0.5</x:v>
      </x:c>
      <x:c r="Q80" t="inlineStr">
        <x:is>
          <x:t xml:space="preserve">gelb</x:t>
        </x:is>
      </x:c>
      <x:c r="R80" t="inlineStr">
        <x:is>
          <x:t xml:space="preserve">Aluminium</x:t>
        </x:is>
      </x:c>
      <x:c r="S80" t="n">
        <x:v>0</x:v>
      </x:c>
      <x:c r="T80" t="inlineStr">
        <x:is>
          <x:t xml:space="preserve"/>
        </x:is>
      </x:c>
      <x:c r="U80" t="inlineStr">
        <x:is>
          <x:t xml:space="preserve"/>
        </x:is>
      </x:c>
      <x:c r="V80" t="inlineStr">
        <x:is>
          <x:t xml:space="preserve"/>
        </x:is>
      </x:c>
      <x:c r="W80" t="inlineStr">
        <x:is>
          <x:t xml:space="preserve"/>
        </x:is>
      </x:c>
      <x:c r="X80" t="inlineStr">
        <x:is>
          <x:t xml:space="preserve">0+</x:t>
        </x:is>
      </x:c>
      <x:c r="Y80" t="inlineStr">
        <x:is>
          <x:t xml:space="preserve"/>
        </x:is>
      </x:c>
      <x:c r="Z80" t="inlineStr">
        <x:is>
          <x:t xml:space="preserve"/>
        </x:is>
      </x:c>
      <x:c r="AA80" t="inlineStr">
        <x:is>
          <x:t xml:space="preserve">IT</x:t>
        </x:is>
      </x:c>
      <x:c r="AB80" s="3">
        <x:f>IF(OR(ISBLANK(H80),ISBLANK(J80)),"",ROUND(H80*J80,2))</x:f>
      </x:c>
      <x:c r="AC80" s="5">
        <x:f>IF(OR(ISBLANK(I80),ISBLANK(AB80),AB80=0),"",(I80-AB80)/AB80)</x:f>
      </x:c>
      <x:c r="AD80">
        <x:f>IF(OR(ISBLANK(Y80),ISBLANK(Z80)),"",IF(Z80&gt;Y80,"FEHLER: offen &gt; gesamt","OK"))</x:f>
      </x:c>
    </x:row>
    <x:row r="81">
      <x:c r="A81" t="inlineStr">
        <x:is>
          <x:t xml:space="preserve">P10080</x:t>
        </x:is>
      </x:c>
      <x:c r="B81" t="inlineStr">
        <x:is>
          <x:t xml:space="preserve">SKU-ZSU9RN8Q</x:t>
        </x:is>
      </x:c>
      <x:c r="C81" t="inlineStr">
        <x:is>
          <x:t xml:space="preserve">KinderWelt</x:t>
        </x:is>
      </x:c>
      <x:c r="D81" t="inlineStr">
        <x:is>
          <x:t xml:space="preserve">KinderWelt Bohrmaschine 5 XL</x:t>
        </x:is>
      </x:c>
      <x:c r="E81" t="inlineStr">
        <x:is>
          <x:t xml:space="preserve">Baumarkt</x:t>
        </x:is>
      </x:c>
      <x:c r="F81" t="inlineStr">
        <x:is>
          <x:t xml:space="preserve">Werkzeug</x:t>
        </x:is>
      </x:c>
      <x:c r="G81" t="inlineStr">
        <x:is>
          <x:t xml:space="preserve">KinderWelt Bohrmaschine 5 XL aus der Kategorie Baumarkt/Werkzeug. Farbe: rot. Material: Baumwolle. Gewicht: 1.863 kg.</x:t>
        </x:is>
      </x:c>
      <x:c r="H81" s="2" t="n">
        <x:v>204.09</x:v>
      </x:c>
      <x:c r="I81" s="3" t="n">
        <x:v>222.46</x:v>
      </x:c>
      <x:c r="J81" s="4" t="n">
        <x:v>1.09</x:v>
      </x:c>
      <x:c r="K81" s="5" t="n">
        <x:v>19</x:v>
      </x:c>
      <x:c r="L81" t="n">
        <x:v>360</x:v>
      </x:c>
      <x:c r="M81" s="4" t="n">
        <x:v>1.863</x:v>
      </x:c>
      <x:c r="N81" s="6" t="n">
        <x:v>26.4</x:v>
      </x:c>
      <x:c r="O81" s="6" t="n">
        <x:v>17.5</x:v>
      </x:c>
      <x:c r="P81" s="6" t="n">
        <x:v>17.9</x:v>
      </x:c>
      <x:c r="Q81" t="inlineStr">
        <x:is>
          <x:t xml:space="preserve">rot</x:t>
        </x:is>
      </x:c>
      <x:c r="R81" t="inlineStr">
        <x:is>
          <x:t xml:space="preserve">Baumwolle</x:t>
        </x:is>
      </x:c>
      <x:c r="S81" t="n">
        <x:v>24</x:v>
      </x:c>
      <x:c r="T81" t="inlineStr">
        <x:is>
          <x:t xml:space="preserve"/>
        </x:is>
      </x:c>
      <x:c r="U81" t="n">
        <x:v>2007</x:v>
      </x:c>
      <x:c r="V81" t="n">
        <x:v>18</x:v>
      </x:c>
      <x:c r="W81" t="inlineStr">
        <x:is>
          <x:t xml:space="preserve">2026-03-02</x:t>
        </x:is>
      </x:c>
      <x:c r="X81" t="inlineStr">
        <x:is>
          <x:t xml:space="preserve"/>
        </x:is>
      </x:c>
      <x:c r="Y81" t="inlineStr">
        <x:is>
          <x:t xml:space="preserve"/>
        </x:is>
      </x:c>
      <x:c r="Z81" t="inlineStr">
        <x:is>
          <x:t xml:space="preserve"/>
        </x:is>
      </x:c>
      <x:c r="AA81" t="inlineStr">
        <x:is>
          <x:t xml:space="preserve">ES</x:t>
        </x:is>
      </x:c>
      <x:c r="AB81" s="3">
        <x:f>IF(OR(ISBLANK(H81),ISBLANK(J81)),"",ROUND(H81*J81,2))</x:f>
      </x:c>
      <x:c r="AC81" s="5">
        <x:f>IF(OR(ISBLANK(I81),ISBLANK(AB81),AB81=0),"",(I81-AB81)/AB81)</x:f>
      </x:c>
      <x:c r="AD81">
        <x:f>IF(OR(ISBLANK(Y81),ISBLANK(Z81)),"",IF(Z81&gt;Y81,"FEHLER: offen &gt; gesamt","OK"))</x:f>
      </x:c>
    </x:row>
    <x:row r="82">
      <x:c r="A82" t="inlineStr">
        <x:is>
          <x:t xml:space="preserve">P10081</x:t>
        </x:is>
      </x:c>
      <x:c r="B82" t="inlineStr">
        <x:is>
          <x:t xml:space="preserve">SKU-ZEWVIYTW</x:t>
        </x:is>
      </x:c>
      <x:c r="C82" t="inlineStr">
        <x:is>
          <x:t xml:space="preserve">Nordlicht</x:t>
        </x:is>
      </x:c>
      <x:c r="D82" t="inlineStr">
        <x:is>
          <x:t xml:space="preserve">Nordlicht Strickpullover 6 Mini</x:t>
        </x:is>
      </x:c>
      <x:c r="E82" t="inlineStr">
        <x:is>
          <x:t xml:space="preserve">Bekleidung</x:t>
        </x:is>
      </x:c>
      <x:c r="F82" t="inlineStr">
        <x:is>
          <x:t xml:space="preserve">Damen</x:t>
        </x:is>
      </x:c>
      <x:c r="G82" t="inlineStr">
        <x:is>
          <x:t xml:space="preserve">Nordlicht Strickpullover 6 Mini aus der Kategorie Bekleidung/Damen. Farbe: blau. Material: Edelstahl. Gewicht: 1.191 kg.</x:t>
        </x:is>
      </x:c>
      <x:c r="H82" s="2" t="n">
        <x:v>590.58</x:v>
      </x:c>
      <x:c r="I82" s="3" t="n">
        <x:v>643.73</x:v>
      </x:c>
      <x:c r="J82" s="4" t="n">
        <x:v>1.09</x:v>
      </x:c>
      <x:c r="K82" s="5" t="n">
        <x:v>19</x:v>
      </x:c>
      <x:c r="L82" t="n">
        <x:v>287</x:v>
      </x:c>
      <x:c r="M82" s="4" t="n">
        <x:v>1.191</x:v>
      </x:c>
      <x:c r="N82" s="6" t="n">
        <x:v>12.7</x:v>
      </x:c>
      <x:c r="O82" s="6" t="n">
        <x:v>25.6</x:v>
      </x:c>
      <x:c r="P82" s="6" t="n">
        <x:v>1.6</x:v>
      </x:c>
      <x:c r="Q82" t="inlineStr">
        <x:is>
          <x:t xml:space="preserve">blau</x:t>
        </x:is>
      </x:c>
      <x:c r="R82" t="inlineStr">
        <x:is>
          <x:t xml:space="preserve">Edelstahl</x:t>
        </x:is>
      </x:c>
      <x:c r="S82" t="n">
        <x:v>0</x:v>
      </x:c>
      <x:c r="T82" t="inlineStr">
        <x:is>
          <x:t xml:space="preserve"/>
        </x:is>
      </x:c>
      <x:c r="U82" t="inlineStr">
        <x:is>
          <x:t xml:space="preserve"/>
        </x:is>
      </x:c>
      <x:c r="V82" t="inlineStr">
        <x:is>
          <x:t xml:space="preserve"/>
        </x:is>
      </x:c>
      <x:c r="W82" t="inlineStr">
        <x:is>
          <x:t xml:space="preserve"/>
        </x:is>
      </x:c>
      <x:c r="X82" t="inlineStr">
        <x:is>
          <x:t xml:space="preserve"/>
        </x:is>
      </x:c>
      <x:c r="Y82" t="inlineStr">
        <x:is>
          <x:t xml:space="preserve"/>
        </x:is>
      </x:c>
      <x:c r="Z82" t="inlineStr">
        <x:is>
          <x:t xml:space="preserve"/>
        </x:is>
      </x:c>
      <x:c r="AA82" t="inlineStr">
        <x:is>
          <x:t xml:space="preserve">DE</x:t>
        </x:is>
      </x:c>
      <x:c r="AB82" s="3">
        <x:f>IF(OR(ISBLANK(H82),ISBLANK(J82)),"",ROUND(H82*J82,2))</x:f>
      </x:c>
      <x:c r="AC82" s="5">
        <x:f>IF(OR(ISBLANK(I82),ISBLANK(AB82),AB82=0),"",(I82-AB82)/AB82)</x:f>
      </x:c>
      <x:c r="AD82">
        <x:f>IF(OR(ISBLANK(Y82),ISBLANK(Z82)),"",IF(Z82&gt;Y82,"FEHLER: offen &gt; gesamt","OK"))</x:f>
      </x:c>
    </x:row>
    <x:row r="83">
      <x:c r="A83" t="inlineStr">
        <x:is>
          <x:t xml:space="preserve">P10082</x:t>
        </x:is>
      </x:c>
      <x:c r="B83" t="inlineStr">
        <x:is>
          <x:t xml:space="preserve">SKU-RH8LX6DU</x:t>
        </x:is>
      </x:c>
      <x:c r="C83" t="inlineStr">
        <x:is>
          <x:t xml:space="preserve">UrbanLine</x:t>
        </x:is>
      </x:c>
      <x:c r="D83" t="inlineStr">
        <x:is>
          <x:t xml:space="preserve">UrbanLine Jeans 3</x:t>
        </x:is>
      </x:c>
      <x:c r="E83" t="inlineStr">
        <x:is>
          <x:t xml:space="preserve">Bekleidung</x:t>
        </x:is>
      </x:c>
      <x:c r="F83" t="inlineStr">
        <x:is>
          <x:t xml:space="preserve">Herren</x:t>
        </x:is>
      </x:c>
      <x:c r="G83" t="inlineStr">
        <x:is>
          <x:t xml:space="preserve">UrbanLine Jeans 3 aus der Kategorie Bekleidung/Herren. Farbe: grau. Material: Edelstahl. Gewicht: 1.665 kg.</x:t>
        </x:is>
      </x:c>
      <x:c r="H83" s="2" t="n">
        <x:v>867.1900000000001</x:v>
      </x:c>
      <x:c r="I83" s="3" t="n">
        <x:v>1994.54</x:v>
      </x:c>
      <x:c r="J83" s="4" t="n">
        <x:v>1.09</x:v>
      </x:c>
      <x:c r="K83" s="5" t="n">
        <x:v>19</x:v>
      </x:c>
      <x:c r="L83" t="n">
        <x:v>243</x:v>
      </x:c>
      <x:c r="M83" s="4" t="n">
        <x:v>1.665</x:v>
      </x:c>
      <x:c r="N83" s="6" t="n">
        <x:v>28</x:v>
      </x:c>
      <x:c r="O83" s="6" t="n">
        <x:v>2.3</x:v>
      </x:c>
      <x:c r="P83" s="6" t="n">
        <x:v>0.5</x:v>
      </x:c>
      <x:c r="Q83" t="inlineStr">
        <x:is>
          <x:t xml:space="preserve">grau</x:t>
        </x:is>
      </x:c>
      <x:c r="R83" t="inlineStr">
        <x:is>
          <x:t xml:space="preserve">Edelstahl</x:t>
        </x:is>
      </x:c>
      <x:c r="S83" t="n">
        <x:v>0</x:v>
      </x:c>
      <x:c r="T83" t="inlineStr">
        <x:is>
          <x:t xml:space="preserve"/>
        </x:is>
      </x:c>
      <x:c r="U83" t="inlineStr">
        <x:is>
          <x:t xml:space="preserve"/>
        </x:is>
      </x:c>
      <x:c r="V83" t="inlineStr">
        <x:is>
          <x:t xml:space="preserve"/>
        </x:is>
      </x:c>
      <x:c r="W83" t="inlineStr">
        <x:is>
          <x:t xml:space="preserve">2026-03-02</x:t>
        </x:is>
      </x:c>
      <x:c r="X83" t="inlineStr">
        <x:is>
          <x:t xml:space="preserve"/>
        </x:is>
      </x:c>
      <x:c r="Y83" t="inlineStr">
        <x:is>
          <x:t xml:space="preserve"/>
        </x:is>
      </x:c>
      <x:c r="Z83" t="inlineStr">
        <x:is>
          <x:t xml:space="preserve"/>
        </x:is>
      </x:c>
      <x:c r="AA83" t="inlineStr">
        <x:is>
          <x:t xml:space="preserve">DE</x:t>
        </x:is>
      </x:c>
      <x:c r="AB83" s="3">
        <x:f>IF(OR(ISBLANK(H83),ISBLANK(J83)),"",ROUND(H83*J83,2))</x:f>
      </x:c>
      <x:c r="AC83" s="5">
        <x:f>IF(OR(ISBLANK(I83),ISBLANK(AB83),AB83=0),"",(I83-AB83)/AB83)</x:f>
      </x:c>
      <x:c r="AD83">
        <x:f>IF(OR(ISBLANK(Y83),ISBLANK(Z83)),"",IF(Z83&gt;Y83,"FEHLER: offen &gt; gesamt","OK"))</x:f>
      </x:c>
    </x:row>
    <x:row r="84">
      <x:c r="A84" t="inlineStr">
        <x:is>
          <x:t xml:space="preserve">P10083</x:t>
        </x:is>
      </x:c>
      <x:c r="B84" t="inlineStr">
        <x:is>
          <x:t xml:space="preserve">SKU-6ESJ3L0X</x:t>
        </x:is>
      </x:c>
      <x:c r="C84" t="inlineStr">
        <x:is>
          <x:t xml:space="preserve">Berg &amp; Tal</x:t>
        </x:is>
      </x:c>
      <x:c r="D84" t="inlineStr">
        <x:is>
          <x:t xml:space="preserve">Berg &amp; Tal Notebook 5</x:t>
        </x:is>
      </x:c>
      <x:c r="E84" t="inlineStr">
        <x:is>
          <x:t xml:space="preserve">Elektronik</x:t>
        </x:is>
      </x:c>
      <x:c r="F84" t="inlineStr">
        <x:is>
          <x:t xml:space="preserve">Computer</x:t>
        </x:is>
      </x:c>
      <x:c r="G84" t="inlineStr">
        <x:is>
          <x:t xml:space="preserve">Berg &amp; Tal Notebook 5 aus der Kategorie Elektronik/Computer. Farbe: grau. Material: Aluminium. Gewicht: 0.853 kg.</x:t>
        </x:is>
      </x:c>
      <x:c r="H84" s="2" t="n">
        <x:v>10.81</x:v>
      </x:c>
      <x:c r="I84" s="3" t="n">
        <x:v>11.78</x:v>
      </x:c>
      <x:c r="J84" s="4" t="n">
        <x:v>1.09</x:v>
      </x:c>
      <x:c r="K84" s="5" t="n">
        <x:v>19</x:v>
      </x:c>
      <x:c r="L84" t="n">
        <x:v>328</x:v>
      </x:c>
      <x:c r="M84" s="4" t="n">
        <x:v>0.853</x:v>
      </x:c>
      <x:c r="N84" s="6" t="n">
        <x:v>25.1</x:v>
      </x:c>
      <x:c r="O84" s="6" t="n">
        <x:v>32.2</x:v>
      </x:c>
      <x:c r="P84" s="6" t="n">
        <x:v>9</x:v>
      </x:c>
      <x:c r="Q84" t="inlineStr">
        <x:is>
          <x:t xml:space="preserve">grau</x:t>
        </x:is>
      </x:c>
      <x:c r="R84" t="inlineStr">
        <x:is>
          <x:t xml:space="preserve">Aluminium</x:t>
        </x:is>
      </x:c>
      <x:c r="S84" t="n">
        <x:v>24</x:v>
      </x:c>
      <x:c r="T84" t="inlineStr">
        <x:is>
          <x:t xml:space="preserve">E</x:t>
        </x:is>
      </x:c>
      <x:c r="U84" t="n">
        <x:v>2152</x:v>
      </x:c>
      <x:c r="V84" t="n">
        <x:v>18</x:v>
      </x:c>
      <x:c r="W84" t="inlineStr">
        <x:is>
          <x:t xml:space="preserve"/>
        </x:is>
      </x:c>
      <x:c r="X84" t="inlineStr">
        <x:is>
          <x:t xml:space="preserve"/>
        </x:is>
      </x:c>
      <x:c r="Y84" t="inlineStr">
        <x:is>
          <x:t xml:space="preserve"/>
        </x:is>
      </x:c>
      <x:c r="Z84" t="inlineStr">
        <x:is>
          <x:t xml:space="preserve"/>
        </x:is>
      </x:c>
      <x:c r="AA84" t="inlineStr">
        <x:is>
          <x:t xml:space="preserve">CN</x:t>
        </x:is>
      </x:c>
      <x:c r="AB84" s="3">
        <x:f>IF(OR(ISBLANK(H84),ISBLANK(J84)),"",ROUND(H84*J84,2))</x:f>
      </x:c>
      <x:c r="AC84" s="5">
        <x:f>IF(OR(ISBLANK(I84),ISBLANK(AB84),AB84=0),"",(I84-AB84)/AB84)</x:f>
      </x:c>
      <x:c r="AD84">
        <x:f>IF(OR(ISBLANK(Y84),ISBLANK(Z84)),"",IF(Z84&gt;Y84,"FEHLER: offen &gt; gesamt","OK"))</x:f>
      </x:c>
    </x:row>
    <x:row r="85">
      <x:c r="A85" t="inlineStr">
        <x:is>
          <x:t xml:space="preserve">P10084</x:t>
        </x:is>
      </x:c>
      <x:c r="B85" t="inlineStr">
        <x:is>
          <x:t xml:space="preserve">SKU-R7ANQJLU</x:t>
        </x:is>
      </x:c>
      <x:c r="C85" t="inlineStr">
        <x:is>
          <x:t xml:space="preserve">AlpenFit</x:t>
        </x:is>
      </x:c>
      <x:c r="D85" t="inlineStr">
        <x:is>
          <x:t xml:space="preserve">AlpenFit Jeans 3 Mini</x:t>
        </x:is>
      </x:c>
      <x:c r="E85" t="inlineStr">
        <x:is>
          <x:t xml:space="preserve">Bekleidung</x:t>
        </x:is>
      </x:c>
      <x:c r="F85" t="inlineStr">
        <x:is>
          <x:t xml:space="preserve">Herren</x:t>
        </x:is>
      </x:c>
      <x:c r="G85" t="inlineStr">
        <x:is>
          <x:t xml:space="preserve">AlpenFit Jeans 3 Mini aus der Kategorie Bekleidung/Herren. Farbe: pink. Material: Baumwolle. Gewicht: 0.861 kg.</x:t>
        </x:is>
      </x:c>
      <x:c r="H85" s="2" t="n">
        <x:v>-743.9</x:v>
      </x:c>
      <x:c r="I85" s="3" t="n">
        <x:v>810.85</x:v>
      </x:c>
      <x:c r="J85" s="4" t="n">
        <x:v>1.09</x:v>
      </x:c>
      <x:c r="K85" s="5" t="n">
        <x:v>19</x:v>
      </x:c>
      <x:c r="L85" t="n">
        <x:v>71</x:v>
      </x:c>
      <x:c r="M85" s="4" t="n">
        <x:v>0.861</x:v>
      </x:c>
      <x:c r="N85" s="6" t="n">
        <x:v>29</x:v>
      </x:c>
      <x:c r="O85" s="6" t="n">
        <x:v>15.3</x:v>
      </x:c>
      <x:c r="P85" s="6" t="n">
        <x:v>3.3</x:v>
      </x:c>
      <x:c r="Q85" t="inlineStr">
        <x:is>
          <x:t xml:space="preserve">pink</x:t>
        </x:is>
      </x:c>
      <x:c r="R85" t="inlineStr">
        <x:is>
          <x:t xml:space="preserve">Baumwolle</x:t>
        </x:is>
      </x:c>
      <x:c r="S85" t="n">
        <x:v>0</x:v>
      </x:c>
      <x:c r="T85" t="inlineStr">
        <x:is>
          <x:t xml:space="preserve"/>
        </x:is>
      </x:c>
      <x:c r="U85" t="inlineStr">
        <x:is>
          <x:t xml:space="preserve"/>
        </x:is>
      </x:c>
      <x:c r="V85" t="inlineStr">
        <x:is>
          <x:t xml:space="preserve"/>
        </x:is>
      </x:c>
      <x:c r="W85" t="inlineStr">
        <x:is>
          <x:t xml:space="preserve"/>
        </x:is>
      </x:c>
      <x:c r="X85" t="inlineStr">
        <x:is>
          <x:t xml:space="preserve"/>
        </x:is>
      </x:c>
      <x:c r="Y85" t="inlineStr">
        <x:is>
          <x:t xml:space="preserve"/>
        </x:is>
      </x:c>
      <x:c r="Z85" t="inlineStr">
        <x:is>
          <x:t xml:space="preserve"/>
        </x:is>
      </x:c>
      <x:c r="AA85" t="inlineStr">
        <x:is>
          <x:t xml:space="preserve">DE</x:t>
        </x:is>
      </x:c>
      <x:c r="AB85" s="3">
        <x:f>IF(OR(ISBLANK(H85),ISBLANK(J85)),"",ROUND(H85*J85,2))</x:f>
      </x:c>
      <x:c r="AC85" s="5">
        <x:f>IF(OR(ISBLANK(I85),ISBLANK(AB85),AB85=0),"",(I85-AB85)/AB85)</x:f>
      </x:c>
      <x:c r="AD85">
        <x:f>IF(OR(ISBLANK(Y85),ISBLANK(Z85)),"",IF(Z85&gt;Y85,"FEHLER: offen &gt; gesamt","OK"))</x:f>
      </x:c>
    </x:row>
    <x:row r="86">
      <x:c r="A86" t="inlineStr">
        <x:is>
          <x:t xml:space="preserve">P10085</x:t>
        </x:is>
      </x:c>
      <x:c r="B86" t="inlineStr">
        <x:is>
          <x:t xml:space="preserve">SKU-Q9NZ6123</x:t>
        </x:is>
      </x:c>
      <x:c r="C86" t="inlineStr">
        <x:is>
          <x:t xml:space="preserve">Nordlicht</x:t>
        </x:is>
      </x:c>
      <x:c r="D86" t="inlineStr">
        <x:is>
          <x:t xml:space="preserve">Nordlicht Gartenhaus 5 Pro</x:t>
        </x:is>
      </x:c>
      <x:c r="E86" t="inlineStr">
        <x:is>
          <x:t xml:space="preserve">Garten</x:t>
        </x:is>
      </x:c>
      <x:c r="F86" t="inlineStr">
        <x:is>
          <x:t xml:space="preserve">Gartenhaus</x:t>
        </x:is>
      </x:c>
      <x:c r="G86" t="inlineStr">
        <x:is>
          <x:t xml:space="preserve">Nordlicht Gartenhaus 5 Pro aus der Kategorie Garten/Gartenhaus. Farbe: weiß. Material: Keramik. Gewicht: 216.0 kg.</x:t>
        </x:is>
      </x:c>
      <x:c r="H86" s="2" t="n">
        <x:v>365.96</x:v>
      </x:c>
      <x:c r="I86" s="3" t="n">
        <x:v>398.9</x:v>
      </x:c>
      <x:c r="J86" s="4" t="n">
        <x:v>1.09</x:v>
      </x:c>
      <x:c r="K86" s="5" t="n">
        <x:v>19</x:v>
      </x:c>
      <x:c r="L86" t="n">
        <x:v>60</x:v>
      </x:c>
      <x:c r="M86" s="4" t="n">
        <x:v>216</x:v>
      </x:c>
      <x:c r="N86" s="6" t="n">
        <x:v>249</x:v>
      </x:c>
      <x:c r="O86" s="6" t="n">
        <x:v>485</x:v>
      </x:c>
      <x:c r="P86" s="6" t="n">
        <x:v>247</x:v>
      </x:c>
      <x:c r="Q86" t="inlineStr">
        <x:is>
          <x:t xml:space="preserve">weiß</x:t>
        </x:is>
      </x:c>
      <x:c r="R86" t="inlineStr">
        <x:is>
          <x:t xml:space="preserve">Keramik</x:t>
        </x:is>
      </x:c>
      <x:c r="S86" t="n">
        <x:v>60</x:v>
      </x:c>
      <x:c r="T86" t="inlineStr">
        <x:is>
          <x:t xml:space="preserve"/>
        </x:is>
      </x:c>
      <x:c r="U86" t="inlineStr">
        <x:is>
          <x:t xml:space="preserve"/>
        </x:is>
      </x:c>
      <x:c r="V86" t="inlineStr">
        <x:is>
          <x:t xml:space="preserve"/>
        </x:is>
      </x:c>
      <x:c r="W86" t="inlineStr">
        <x:is>
          <x:t xml:space="preserve"/>
        </x:is>
      </x:c>
      <x:c r="X86" t="inlineStr">
        <x:is>
          <x:t xml:space="preserve"/>
        </x:is>
      </x:c>
      <x:c r="Y86" t="n">
        <x:v>6</x:v>
      </x:c>
      <x:c r="Z86" t="n">
        <x:v>7</x:v>
      </x:c>
      <x:c r="AA86" t="inlineStr">
        <x:is>
          <x:t xml:space="preserve">VN</x:t>
        </x:is>
      </x:c>
      <x:c r="AB86" s="3">
        <x:f>IF(OR(ISBLANK(H86),ISBLANK(J86)),"",ROUND(H86*J86,2))</x:f>
      </x:c>
      <x:c r="AC86" s="5">
        <x:f>IF(OR(ISBLANK(I86),ISBLANK(AB86),AB86=0),"",(I86-AB86)/AB86)</x:f>
      </x:c>
      <x:c r="AD86">
        <x:f>IF(OR(ISBLANK(Y86),ISBLANK(Z86)),"",IF(Z86&gt;Y86,"FEHLER: offen &gt; gesamt","OK"))</x:f>
      </x:c>
    </x:row>
    <x:row r="87">
      <x:c r="A87" t="inlineStr">
        <x:is>
          <x:t xml:space="preserve">P10086</x:t>
        </x:is>
      </x:c>
      <x:c r="B87" t="inlineStr">
        <x:is>
          <x:t xml:space="preserve">SKU-4PYZR6QC</x:t>
        </x:is>
      </x:c>
      <x:c r="C87" t="inlineStr">
        <x:is>
          <x:t xml:space="preserve">KinderWelt</x:t>
        </x:is>
      </x:c>
      <x:c r="D87" t="inlineStr">
        <x:is>
          <x:t xml:space="preserve">KinderWelt Shampoo 2</x:t>
        </x:is>
      </x:c>
      <x:c r="E87" t="inlineStr">
        <x:is>
          <x:t xml:space="preserve">Drogerie</x:t>
        </x:is>
      </x:c>
      <x:c r="F87" t="inlineStr">
        <x:is>
          <x:t xml:space="preserve">Körperpflege</x:t>
        </x:is>
      </x:c>
      <x:c r="G87" t="inlineStr">
        <x:is>
          <x:t xml:space="preserve">KinderWelt Shampoo 2 aus der Kategorie Drogerie/Körperpflege. Farbe: beige. Material: Holz. Gewicht: 0.293 kg.</x:t>
        </x:is>
      </x:c>
      <x:c r="H87" s="2" t="n">
        <x:v>57.87</x:v>
      </x:c>
      <x:c r="I87" s="3" t="n">
        <x:v>28.93</x:v>
      </x:c>
      <x:c r="J87" s="4" t="n">
        <x:v>1.09</x:v>
      </x:c>
      <x:c r="K87" s="5" t="n">
        <x:v>19</x:v>
      </x:c>
      <x:c r="L87" t="n">
        <x:v>167</x:v>
      </x:c>
      <x:c r="M87" s="4" t="n">
        <x:v>0.293</x:v>
      </x:c>
      <x:c r="N87" s="6" t="n">
        <x:v>21.2</x:v>
      </x:c>
      <x:c r="O87" s="6" t="n">
        <x:v>12.3</x:v>
      </x:c>
      <x:c r="P87" s="6" t="n">
        <x:v>7</x:v>
      </x:c>
      <x:c r="Q87" t="inlineStr">
        <x:is>
          <x:t xml:space="preserve">beige</x:t>
        </x:is>
      </x:c>
      <x:c r="R87" t="inlineStr">
        <x:is>
          <x:t xml:space="preserve">Holz</x:t>
        </x:is>
      </x:c>
      <x:c r="S87" t="n">
        <x:v>0</x:v>
      </x:c>
      <x:c r="T87" t="inlineStr">
        <x:is>
          <x:t xml:space="preserve"/>
        </x:is>
      </x:c>
      <x:c r="U87" t="inlineStr">
        <x:is>
          <x:t xml:space="preserve"/>
        </x:is>
      </x:c>
      <x:c r="V87" t="inlineStr">
        <x:is>
          <x:t xml:space="preserve"/>
        </x:is>
      </x:c>
      <x:c r="W87" t="inlineStr">
        <x:is>
          <x:t xml:space="preserve"/>
        </x:is>
      </x:c>
      <x:c r="X87" t="inlineStr">
        <x:is>
          <x:t xml:space="preserve"/>
        </x:is>
      </x:c>
      <x:c r="Y87" t="inlineStr">
        <x:is>
          <x:t xml:space="preserve"/>
        </x:is>
      </x:c>
      <x:c r="Z87" t="inlineStr">
        <x:is>
          <x:t xml:space="preserve"/>
        </x:is>
      </x:c>
      <x:c r="AA87" t="inlineStr">
        <x:is>
          <x:t xml:space="preserve">CN</x:t>
        </x:is>
      </x:c>
      <x:c r="AB87" s="3">
        <x:f>IF(OR(ISBLANK(H87),ISBLANK(J87)),"",ROUND(H87*J87,2))</x:f>
      </x:c>
      <x:c r="AC87" s="5">
        <x:f>IF(OR(ISBLANK(I87),ISBLANK(AB87),AB87=0),"",(I87-AB87)/AB87)</x:f>
      </x:c>
      <x:c r="AD87">
        <x:f>IF(OR(ISBLANK(Y87),ISBLANK(Z87)),"",IF(Z87&gt;Y87,"FEHLER: offen &gt; gesamt","OK"))</x:f>
      </x:c>
    </x:row>
    <x:row r="88">
      <x:c r="A88" t="inlineStr">
        <x:is>
          <x:t xml:space="preserve">P10087</x:t>
        </x:is>
      </x:c>
      <x:c r="B88" t="inlineStr">
        <x:is>
          <x:t xml:space="preserve">SKU-97C7BO11</x:t>
        </x:is>
      </x:c>
      <x:c r="C88" t="inlineStr">
        <x:is>
          <x:t xml:space="preserve">KinderWelt</x:t>
        </x:is>
      </x:c>
      <x:c r="D88" t="inlineStr">
        <x:is>
          <x:t xml:space="preserve">KinderWelt Joghurt 7 XL</x:t>
        </x:is>
      </x:c>
      <x:c r="E88" t="inlineStr">
        <x:is>
          <x:t xml:space="preserve">Lebensmittel</x:t>
        </x:is>
      </x:c>
      <x:c r="F88" t="inlineStr">
        <x:is>
          <x:t xml:space="preserve">Frische</x:t>
        </x:is>
      </x:c>
      <x:c r="G88" t="inlineStr">
        <x:is>
          <x:t xml:space="preserve">KinderWelt Joghurt 7 XL aus der Kategorie Lebensmittel/Frische. Farbe: blau. Material: Kunststoff. Gewicht: 1.172 kg.</x:t>
        </x:is>
      </x:c>
      <x:c r="H88" s="2" t="n">
        <x:v>734.45</x:v>
      </x:c>
      <x:c r="I88" s="3" t="n">
        <x:v>1248.57</x:v>
      </x:c>
      <x:c r="J88" s="4" t="n">
        <x:v>1.09</x:v>
      </x:c>
      <x:c r="K88" s="5" t="n">
        <x:v>7</x:v>
      </x:c>
      <x:c r="L88" t="n">
        <x:v>32</x:v>
      </x:c>
      <x:c r="M88" s="4" t="n">
        <x:v>1.172</x:v>
      </x:c>
      <x:c r="N88" s="6" t="n">
        <x:v>1</x:v>
      </x:c>
      <x:c r="O88" s="6" t="n">
        <x:v>33.2</x:v>
      </x:c>
      <x:c r="P88" s="6" t="n">
        <x:v>13.1</x:v>
      </x:c>
      <x:c r="Q88" t="inlineStr">
        <x:is>
          <x:t xml:space="preserve">blau</x:t>
        </x:is>
      </x:c>
      <x:c r="R88" t="inlineStr">
        <x:is>
          <x:t xml:space="preserve">Kunststoff</x:t>
        </x:is>
      </x:c>
      <x:c r="S88" t="n">
        <x:v>0</x:v>
      </x:c>
      <x:c r="T88" t="inlineStr">
        <x:is>
          <x:t xml:space="preserve"/>
        </x:is>
      </x:c>
      <x:c r="U88" t="inlineStr">
        <x:is>
          <x:t xml:space="preserve"/>
        </x:is>
      </x:c>
      <x:c r="V88" t="inlineStr">
        <x:is>
          <x:t xml:space="preserve"/>
        </x:is>
      </x:c>
      <x:c r="W88" t="inlineStr">
        <x:is>
          <x:t xml:space="preserve">2026-10-25</x:t>
        </x:is>
      </x:c>
      <x:c r="X88" t="inlineStr">
        <x:is>
          <x:t xml:space="preserve"/>
        </x:is>
      </x:c>
      <x:c r="Y88" t="inlineStr">
        <x:is>
          <x:t xml:space="preserve"/>
        </x:is>
      </x:c>
      <x:c r="Z88" t="inlineStr">
        <x:is>
          <x:t xml:space="preserve"/>
        </x:is>
      </x:c>
      <x:c r="AA88" t="inlineStr">
        <x:is>
          <x:t xml:space="preserve">ES</x:t>
        </x:is>
      </x:c>
      <x:c r="AB88" s="3">
        <x:f>IF(OR(ISBLANK(H88),ISBLANK(J88)),"",ROUND(H88*J88,2))</x:f>
      </x:c>
      <x:c r="AC88" s="5">
        <x:f>IF(OR(ISBLANK(I88),ISBLANK(AB88),AB88=0),"",(I88-AB88)/AB88)</x:f>
      </x:c>
      <x:c r="AD88">
        <x:f>IF(OR(ISBLANK(Y88),ISBLANK(Z88)),"",IF(Z88&gt;Y88,"FEHLER: offen &gt; gesamt","OK"))</x:f>
      </x:c>
    </x:row>
    <x:row r="89">
      <x:c r="A89" t="inlineStr">
        <x:is>
          <x:t xml:space="preserve">P10088</x:t>
        </x:is>
      </x:c>
      <x:c r="B89" t="inlineStr">
        <x:is>
          <x:t xml:space="preserve">SKU-AAKYTT3I</x:t>
        </x:is>
      </x:c>
      <x:c r="C89" t="inlineStr">
        <x:is>
          <x:t xml:space="preserve">Berg &amp; Tal</x:t>
        </x:is>
      </x:c>
      <x:c r="D89" t="inlineStr">
        <x:is>
          <x:t xml:space="preserve">Berg &amp; Tal Trinkflasche 3 XL</x:t>
        </x:is>
      </x:c>
      <x:c r="E89" t="inlineStr">
        <x:is>
          <x:t xml:space="preserve">Sport</x:t>
        </x:is>
      </x:c>
      <x:c r="F89" t="inlineStr">
        <x:is>
          <x:t xml:space="preserve">Outdoor</x:t>
        </x:is>
      </x:c>
      <x:c r="G89" t="inlineStr">
        <x:is>
          <x:t xml:space="preserve">Berg &amp; Tal Trinkflasche 3 XL aus der Kategorie Sport/Outdoor. Farbe: weiß. Material: Gummi. Gewicht: 1.999 kg.</x:t>
        </x:is>
      </x:c>
      <x:c r="H89" s="2" t="n">
        <x:v>108.85</x:v>
      </x:c>
      <x:c r="I89" s="3" t="n">
        <x:v>118.65</x:v>
      </x:c>
      <x:c r="J89" s="4" t="n">
        <x:v>1.09</x:v>
      </x:c>
      <x:c r="K89" s="5" t="n">
        <x:v>19</x:v>
      </x:c>
      <x:c r="L89" t="n">
        <x:v>427</x:v>
      </x:c>
      <x:c r="M89" s="4" t="n">
        <x:v>1.999</x:v>
      </x:c>
      <x:c r="N89" s="6" t="n">
        <x:v>28.9</x:v>
      </x:c>
      <x:c r="O89" s="6" t="n">
        <x:v>49</x:v>
      </x:c>
      <x:c r="P89" s="6" t="n">
        <x:v>33.9</x:v>
      </x:c>
      <x:c r="Q89" t="inlineStr">
        <x:is>
          <x:t xml:space="preserve">weiß</x:t>
        </x:is>
      </x:c>
      <x:c r="R89" t="inlineStr">
        <x:is>
          <x:t xml:space="preserve">Gummi</x:t>
        </x:is>
      </x:c>
      <x:c r="S89" t="n">
        <x:v>0</x:v>
      </x:c>
      <x:c r="T89" t="inlineStr">
        <x:is>
          <x:t xml:space="preserve"/>
        </x:is>
      </x:c>
      <x:c r="U89" t="inlineStr">
        <x:is>
          <x:t xml:space="preserve"/>
        </x:is>
      </x:c>
      <x:c r="V89" t="inlineStr">
        <x:is>
          <x:t xml:space="preserve"/>
        </x:is>
      </x:c>
      <x:c r="W89" t="inlineStr">
        <x:is>
          <x:t xml:space="preserve"/>
        </x:is>
      </x:c>
      <x:c r="X89" t="inlineStr">
        <x:is>
          <x:t xml:space="preserve"/>
        </x:is>
      </x:c>
      <x:c r="Y89" t="inlineStr">
        <x:is>
          <x:t xml:space="preserve"/>
        </x:is>
      </x:c>
      <x:c r="Z89" t="inlineStr">
        <x:is>
          <x:t xml:space="preserve"/>
        </x:is>
      </x:c>
      <x:c r="AA89" t="inlineStr">
        <x:is>
          <x:t xml:space="preserve">IT</x:t>
        </x:is>
      </x:c>
      <x:c r="AB89" s="3">
        <x:f>IF(OR(ISBLANK(H89),ISBLANK(J89)),"",ROUND(H89*J89,2))</x:f>
      </x:c>
      <x:c r="AC89" s="5">
        <x:f>IF(OR(ISBLANK(I89),ISBLANK(AB89),AB89=0),"",(I89-AB89)/AB89)</x:f>
      </x:c>
      <x:c r="AD89">
        <x:f>IF(OR(ISBLANK(Y89),ISBLANK(Z89)),"",IF(Z89&gt;Y89,"FEHLER: offen &gt; gesamt","OK"))</x:f>
      </x:c>
    </x:row>
    <x:row r="90">
      <x:c r="A90" t="inlineStr">
        <x:is>
          <x:t xml:space="preserve">P10089</x:t>
        </x:is>
      </x:c>
      <x:c r="B90" t="inlineStr">
        <x:is>
          <x:t xml:space="preserve">SKU-B0OIH5CS</x:t>
        </x:is>
      </x:c>
      <x:c r="C90" t="inlineStr">
        <x:is>
          <x:t xml:space="preserve">UrbanLine</x:t>
        </x:is>
      </x:c>
      <x:c r="D90" t="inlineStr">
        <x:is>
          <x:t xml:space="preserve">UrbanLine Akkuschere 7</x:t>
        </x:is>
      </x:c>
      <x:c r="E90" t="inlineStr">
        <x:is>
          <x:t xml:space="preserve">Garten</x:t>
        </x:is>
      </x:c>
      <x:c r="F90" t="inlineStr">
        <x:is>
          <x:t xml:space="preserve">Gartengeräte</x:t>
        </x:is>
      </x:c>
      <x:c r="G90" t="inlineStr">
        <x:is>
          <x:t xml:space="preserve">UrbanLine Akkuschere 7 aus der Kategorie Garten/Gartengeräte. Farbe: weiß. Material: Kunststoff. Gewicht: 2.179 kg.</x:t>
        </x:is>
      </x:c>
      <x:c r="H90" s="2" t="n">
        <x:v>218.26</x:v>
      </x:c>
      <x:c r="I90" s="3" t="n">
        <x:v>237.9</x:v>
      </x:c>
      <x:c r="J90" s="4" t="n">
        <x:v>1.09</x:v>
      </x:c>
      <x:c r="K90" s="5" t="n">
        <x:v>19</x:v>
      </x:c>
      <x:c r="L90" t="n">
        <x:v>446</x:v>
      </x:c>
      <x:c r="M90" s="4" t="n">
        <x:v>2.179</x:v>
      </x:c>
      <x:c r="N90" s="6" t="n">
        <x:v>43.8</x:v>
      </x:c>
      <x:c r="O90" s="6" t="n">
        <x:v>1</x:v>
      </x:c>
      <x:c r="P90" s="6" t="n">
        <x:v>15.9</x:v>
      </x:c>
      <x:c r="Q90" t="inlineStr">
        <x:is>
          <x:t xml:space="preserve">weiß</x:t>
        </x:is>
      </x:c>
      <x:c r="R90" t="inlineStr">
        <x:is>
          <x:t xml:space="preserve">Kunststoff</x:t>
        </x:is>
      </x:c>
      <x:c r="S90" t="n">
        <x:v>0</x:v>
      </x:c>
      <x:c r="T90" t="inlineStr">
        <x:is>
          <x:t xml:space="preserve"/>
        </x:is>
      </x:c>
      <x:c r="U90" t="inlineStr">
        <x:is>
          <x:t xml:space="preserve"/>
        </x:is>
      </x:c>
      <x:c r="V90" t="inlineStr">
        <x:is>
          <x:t xml:space="preserve"/>
        </x:is>
      </x:c>
      <x:c r="W90" t="inlineStr">
        <x:is>
          <x:t xml:space="preserve"/>
        </x:is>
      </x:c>
      <x:c r="X90" t="inlineStr">
        <x:is>
          <x:t xml:space="preserve"/>
        </x:is>
      </x:c>
      <x:c r="Y90" t="inlineStr">
        <x:is>
          <x:t xml:space="preserve"/>
        </x:is>
      </x:c>
      <x:c r="Z90" t="inlineStr">
        <x:is>
          <x:t xml:space="preserve"/>
        </x:is>
      </x:c>
      <x:c r="AA90" t="inlineStr">
        <x:is>
          <x:t xml:space="preserve">TR</x:t>
        </x:is>
      </x:c>
      <x:c r="AB90" s="3">
        <x:f>IF(OR(ISBLANK(H90),ISBLANK(J90)),"",ROUND(H90*J90,2))</x:f>
      </x:c>
      <x:c r="AC90" s="5">
        <x:f>IF(OR(ISBLANK(I90),ISBLANK(AB90),AB90=0),"",(I90-AB90)/AB90)</x:f>
      </x:c>
      <x:c r="AD90">
        <x:f>IF(OR(ISBLANK(Y90),ISBLANK(Z90)),"",IF(Z90&gt;Y90,"FEHLER: offen &gt; gesamt","OK"))</x:f>
      </x:c>
    </x:row>
    <x:row r="91">
      <x:c r="A91" t="inlineStr">
        <x:is>
          <x:t xml:space="preserve">P10090</x:t>
        </x:is>
      </x:c>
      <x:c r="B91" t="inlineStr">
        <x:is>
          <x:t xml:space="preserve">SKU-856WPR97</x:t>
        </x:is>
      </x:c>
      <x:c r="C91" t="inlineStr">
        <x:is>
          <x:t xml:space="preserve">KüstenKlang</x:t>
        </x:is>
      </x:c>
      <x:c r="D91" t="inlineStr">
        <x:is>
          <x:t xml:space="preserve">KüstenKlang Pasta 6 Pro</x:t>
        </x:is>
      </x:c>
      <x:c r="F91" t="inlineStr">
        <x:is>
          <x:t xml:space="preserve">Trocken</x:t>
        </x:is>
      </x:c>
      <x:c r="G91" t="inlineStr">
        <x:is>
          <x:t xml:space="preserve">KüstenKlang Pasta 6 Pro aus der Kategorie Lebensmittel/Trocken. Farbe: pink. Material: Leder. Gewicht: 1.931 kg.</x:t>
        </x:is>
      </x:c>
      <x:c r="H91" s="2" t="n">
        <x:v>273.03</x:v>
      </x:c>
      <x:c r="I91" s="3" t="n">
        <x:v>297.6</x:v>
      </x:c>
      <x:c r="J91" s="4" t="n">
        <x:v>1.09</x:v>
      </x:c>
      <x:c r="K91" s="5" t="n">
        <x:v>7</x:v>
      </x:c>
      <x:c r="L91" t="n">
        <x:v>31</x:v>
      </x:c>
      <x:c r="M91" s="4" t="n">
        <x:v>1.931</x:v>
      </x:c>
      <x:c r="N91" s="6" t="n">
        <x:v>58.8</x:v>
      </x:c>
      <x:c r="O91" s="6" t="n">
        <x:v>22.3</x:v>
      </x:c>
      <x:c r="P91" s="6" t="n">
        <x:v>99999</x:v>
      </x:c>
      <x:c r="Q91" t="inlineStr">
        <x:is>
          <x:t xml:space="preserve">pink</x:t>
        </x:is>
      </x:c>
      <x:c r="R91" t="inlineStr">
        <x:is>
          <x:t xml:space="preserve">Leder</x:t>
        </x:is>
      </x:c>
      <x:c r="S91" t="n">
        <x:v>0</x:v>
      </x:c>
      <x:c r="T91" t="inlineStr">
        <x:is>
          <x:t xml:space="preserve"/>
        </x:is>
      </x:c>
      <x:c r="U91" t="inlineStr">
        <x:is>
          <x:t xml:space="preserve"/>
        </x:is>
      </x:c>
      <x:c r="V91" t="inlineStr">
        <x:is>
          <x:t xml:space="preserve"/>
        </x:is>
      </x:c>
      <x:c r="W91" t="inlineStr">
        <x:is>
          <x:t xml:space="preserve">2026-11-02</x:t>
        </x:is>
      </x:c>
      <x:c r="X91" t="inlineStr">
        <x:is>
          <x:t xml:space="preserve"/>
        </x:is>
      </x:c>
      <x:c r="Y91" t="inlineStr">
        <x:is>
          <x:t xml:space="preserve"/>
        </x:is>
      </x:c>
      <x:c r="Z91" t="inlineStr">
        <x:is>
          <x:t xml:space="preserve"/>
        </x:is>
      </x:c>
      <x:c r="AA91" t="inlineStr">
        <x:is>
          <x:t xml:space="preserve">ES</x:t>
        </x:is>
      </x:c>
      <x:c r="AB91" s="3">
        <x:f>IF(OR(ISBLANK(H91),ISBLANK(J91)),"",ROUND(H91*J91,2))</x:f>
      </x:c>
      <x:c r="AC91" s="5">
        <x:f>IF(OR(ISBLANK(I91),ISBLANK(AB91),AB91=0),"",(I91-AB91)/AB91)</x:f>
      </x:c>
      <x:c r="AD91">
        <x:f>IF(OR(ISBLANK(Y91),ISBLANK(Z91)),"",IF(Z91&gt;Y91,"FEHLER: offen &gt; gesamt","OK"))</x:f>
      </x:c>
    </x:row>
    <x:row r="92">
      <x:c r="A92" t="inlineStr">
        <x:is>
          <x:t xml:space="preserve">P10091</x:t>
        </x:is>
      </x:c>
      <x:c r="B92" t="inlineStr">
        <x:is>
          <x:t xml:space="preserve">SKU-OOTNJLCQ</x:t>
        </x:is>
      </x:c>
      <x:c r="C92" t="inlineStr">
        <x:is>
          <x:t xml:space="preserve">Berg &amp; Tal</x:t>
        </x:is>
      </x:c>
      <x:c r="D92" t="inlineStr">
        <x:is>
          <x:t xml:space="preserve">Berg &amp; Tal Strickpullover 8 Pro</x:t>
        </x:is>
      </x:c>
      <x:c r="E92" t="inlineStr">
        <x:is>
          <x:t xml:space="preserve">Bekleidung</x:t>
        </x:is>
      </x:c>
      <x:c r="F92" t="inlineStr">
        <x:is>
          <x:t xml:space="preserve">Damen</x:t>
        </x:is>
      </x:c>
      <x:c r="G92" t="inlineStr">
        <x:is>
          <x:t xml:space="preserve">Berg &amp; Tal Strickpullover 8 Pro aus der Kategorie Bekleidung/Damen. Farbe: silber. Material: Gummi. Gewicht: 0.807 kg.</x:t>
        </x:is>
      </x:c>
      <x:c r="H92" s="2" t="n">
        <x:v>763.9299999999999</x:v>
      </x:c>
      <x:c r="I92" s="3" t="n">
        <x:v>832.6799999999999</x:v>
      </x:c>
      <x:c r="J92" s="4" t="n">
        <x:v>1.09</x:v>
      </x:c>
      <x:c r="K92" s="5" t="n">
        <x:v>19</x:v>
      </x:c>
      <x:c r="L92" t="n">
        <x:v>287</x:v>
      </x:c>
      <x:c r="M92" s="4" t="n">
        <x:v>0.8070000000000001</x:v>
      </x:c>
      <x:c r="N92" s="6" t="n">
        <x:v>67.2</x:v>
      </x:c>
      <x:c r="O92" s="6" t="n">
        <x:v>31.4</x:v>
      </x:c>
      <x:c r="P92" s="6" t="n">
        <x:v>0.5</x:v>
      </x:c>
      <x:c r="Q92" t="inlineStr">
        <x:is>
          <x:t xml:space="preserve">silber</x:t>
        </x:is>
      </x:c>
      <x:c r="R92" t="inlineStr">
        <x:is>
          <x:t xml:space="preserve">Gummi</x:t>
        </x:is>
      </x:c>
      <x:c r="S92" t="n">
        <x:v>0</x:v>
      </x:c>
      <x:c r="T92" t="inlineStr">
        <x:is>
          <x:t xml:space="preserve"/>
        </x:is>
      </x:c>
      <x:c r="U92" t="inlineStr">
        <x:is>
          <x:t xml:space="preserve"/>
        </x:is>
      </x:c>
      <x:c r="V92" t="inlineStr">
        <x:is>
          <x:t xml:space="preserve"/>
        </x:is>
      </x:c>
      <x:c r="W92" t="inlineStr">
        <x:is>
          <x:t xml:space="preserve"/>
        </x:is>
      </x:c>
      <x:c r="X92" t="inlineStr">
        <x:is>
          <x:t xml:space="preserve"/>
        </x:is>
      </x:c>
      <x:c r="Y92" t="inlineStr">
        <x:is>
          <x:t xml:space="preserve"/>
        </x:is>
      </x:c>
      <x:c r="Z92" t="inlineStr">
        <x:is>
          <x:t xml:space="preserve"/>
        </x:is>
      </x:c>
      <x:c r="AA92" t="inlineStr">
        <x:is>
          <x:t xml:space="preserve">IT</x:t>
        </x:is>
      </x:c>
      <x:c r="AB92" s="3">
        <x:f>IF(OR(ISBLANK(H92),ISBLANK(J92)),"",ROUND(H92*J92,2))</x:f>
      </x:c>
      <x:c r="AC92" s="5">
        <x:f>IF(OR(ISBLANK(I92),ISBLANK(AB92),AB92=0),"",(I92-AB92)/AB92)</x:f>
      </x:c>
      <x:c r="AD92">
        <x:f>IF(OR(ISBLANK(Y92),ISBLANK(Z92)),"",IF(Z92&gt;Y92,"FEHLER: offen &gt; gesamt","OK"))</x:f>
      </x:c>
    </x:row>
    <x:row r="93">
      <x:c r="A93" t="inlineStr">
        <x:is>
          <x:t xml:space="preserve">P10092</x:t>
        </x:is>
      </x:c>
      <x:c r="B93" t="inlineStr">
        <x:is>
          <x:t xml:space="preserve">SKU-6K6HG001</x:t>
        </x:is>
      </x:c>
      <x:c r="C93" t="inlineStr">
        <x:is>
          <x:t xml:space="preserve">Nordlicht</x:t>
        </x:is>
      </x:c>
      <x:c r="D93" t="inlineStr">
        <x:is>
          <x:t xml:space="preserve">Nordlicht Akkuschere 1</x:t>
        </x:is>
      </x:c>
      <x:c r="F93" t="inlineStr">
        <x:is>
          <x:t xml:space="preserve">Gartengeräte</x:t>
        </x:is>
      </x:c>
      <x:c r="G93" t="inlineStr">
        <x:is>
          <x:t xml:space="preserve">Nordlicht Akkuschere 1 aus der Kategorie Garten/Gartengeräte. Farbe: blau. Material: Glas. Gewicht: 1.294 kg.</x:t>
        </x:is>
      </x:c>
      <x:c r="H93" s="2" t="n">
        <x:v>171.19</x:v>
      </x:c>
      <x:c r="I93" s="3" t="n">
        <x:v>186.6</x:v>
      </x:c>
      <x:c r="J93" s="4" t="n">
        <x:v>1.09</x:v>
      </x:c>
      <x:c r="K93" s="5" t="n">
        <x:v>19</x:v>
      </x:c>
      <x:c r="L93" t="n">
        <x:v>445</x:v>
      </x:c>
      <x:c r="M93" s="4" t="n">
        <x:v>1.294</x:v>
      </x:c>
      <x:c r="N93" s="6" t="n">
        <x:v>1</x:v>
      </x:c>
      <x:c r="O93" s="6" t="n">
        <x:v>4</x:v>
      </x:c>
      <x:c r="P93" s="6" t="n">
        <x:v>5</x:v>
      </x:c>
      <x:c r="Q93" t="inlineStr">
        <x:is>
          <x:t xml:space="preserve">blau</x:t>
        </x:is>
      </x:c>
      <x:c r="R93" t="inlineStr">
        <x:is>
          <x:t xml:space="preserve">Glas</x:t>
        </x:is>
      </x:c>
      <x:c r="S93" t="n">
        <x:v>0</x:v>
      </x:c>
      <x:c r="T93" t="inlineStr">
        <x:is>
          <x:t xml:space="preserve"/>
        </x:is>
      </x:c>
      <x:c r="U93" t="inlineStr">
        <x:is>
          <x:t xml:space="preserve"/>
        </x:is>
      </x:c>
      <x:c r="V93" t="inlineStr">
        <x:is>
          <x:t xml:space="preserve"/>
        </x:is>
      </x:c>
      <x:c r="W93" t="inlineStr">
        <x:is>
          <x:t xml:space="preserve"/>
        </x:is>
      </x:c>
      <x:c r="X93" t="inlineStr">
        <x:is>
          <x:t xml:space="preserve"/>
        </x:is>
      </x:c>
      <x:c r="Y93" t="inlineStr">
        <x:is>
          <x:t xml:space="preserve"/>
        </x:is>
      </x:c>
      <x:c r="Z93" t="inlineStr">
        <x:is>
          <x:t xml:space="preserve"/>
        </x:is>
      </x:c>
      <x:c r="AA93" t="inlineStr">
        <x:is>
          <x:t xml:space="preserve">VN</x:t>
        </x:is>
      </x:c>
      <x:c r="AB93" s="3">
        <x:f>IF(OR(ISBLANK(H93),ISBLANK(J93)),"",ROUND(H93*J93,2))</x:f>
      </x:c>
      <x:c r="AC93" s="5">
        <x:f>IF(OR(ISBLANK(I93),ISBLANK(AB93),AB93=0),"",(I93-AB93)/AB93)</x:f>
      </x:c>
      <x:c r="AD93">
        <x:f>IF(OR(ISBLANK(Y93),ISBLANK(Z93)),"",IF(Z93&gt;Y93,"FEHLER: offen &gt; gesamt","OK"))</x:f>
      </x:c>
    </x:row>
    <x:row r="94">
      <x:c r="A94" t="inlineStr">
        <x:is>
          <x:t xml:space="preserve">P10093</x:t>
        </x:is>
      </x:c>
      <x:c r="B94" t="inlineStr">
        <x:is>
          <x:t xml:space="preserve">SKU-D9Q46NOU</x:t>
        </x:is>
      </x:c>
      <x:c r="C94" t="inlineStr">
        <x:is>
          <x:t xml:space="preserve">MünsterWerk</x:t>
        </x:is>
      </x:c>
      <x:c r="D94" t="inlineStr">
        <x:is>
          <x:t xml:space="preserve">MünsterWerk Trinkflasche 5 Mini</x:t>
        </x:is>
      </x:c>
      <x:c r="E94" t="inlineStr">
        <x:is>
          <x:t xml:space="preserve">Sport</x:t>
        </x:is>
      </x:c>
      <x:c r="F94" t="inlineStr">
        <x:is>
          <x:t xml:space="preserve">Outdoor</x:t>
        </x:is>
      </x:c>
      <x:c r="G94" t="inlineStr">
        <x:is>
          <x:t xml:space="preserve">MunsterWerk Trinkflasche 5 Mini aus der Kategorie Sport/Outdoor. Farbe: beige. Material: Holz. Gewicht: 0.792 kg.</x:t>
        </x:is>
      </x:c>
      <x:c r="H94" s="2" t="n">
        <x:v>420.49</x:v>
      </x:c>
      <x:c r="I94" s="3" t="n">
        <x:v>458.33</x:v>
      </x:c>
      <x:c r="J94" s="4" t="n">
        <x:v>1.09</x:v>
      </x:c>
      <x:c r="K94" s="5" t="n">
        <x:v>19</x:v>
      </x:c>
      <x:c r="L94" t="n">
        <x:v>-38</x:v>
      </x:c>
      <x:c r="M94" s="4" t="n">
        <x:v>0.792</x:v>
      </x:c>
      <x:c r="N94" s="6" t="n">
        <x:v>12.7</x:v>
      </x:c>
      <x:c r="O94" s="6" t="n">
        <x:v>1</x:v>
      </x:c>
      <x:c r="P94" s="6" t="n">
        <x:v>29.2</x:v>
      </x:c>
      <x:c r="Q94" t="inlineStr">
        <x:is>
          <x:t xml:space="preserve">beige</x:t>
        </x:is>
      </x:c>
      <x:c r="R94" t="inlineStr">
        <x:is>
          <x:t xml:space="preserve">Holz</x:t>
        </x:is>
      </x:c>
      <x:c r="S94" t="n">
        <x:v>0</x:v>
      </x:c>
      <x:c r="T94" t="inlineStr">
        <x:is>
          <x:t xml:space="preserve"/>
        </x:is>
      </x:c>
      <x:c r="U94" t="inlineStr">
        <x:is>
          <x:t xml:space="preserve"/>
        </x:is>
      </x:c>
      <x:c r="V94" t="inlineStr">
        <x:is>
          <x:t xml:space="preserve"/>
        </x:is>
      </x:c>
      <x:c r="W94" t="inlineStr">
        <x:is>
          <x:t xml:space="preserve"/>
        </x:is>
      </x:c>
      <x:c r="X94" t="inlineStr">
        <x:is>
          <x:t xml:space="preserve"/>
        </x:is>
      </x:c>
      <x:c r="Y94" t="inlineStr">
        <x:is>
          <x:t xml:space="preserve"/>
        </x:is>
      </x:c>
      <x:c r="Z94" t="inlineStr">
        <x:is>
          <x:t xml:space="preserve"/>
        </x:is>
      </x:c>
      <x:c r="AA94" t="inlineStr">
        <x:is>
          <x:t xml:space="preserve">VN</x:t>
        </x:is>
      </x:c>
      <x:c r="AB94" s="3">
        <x:f>IF(OR(ISBLANK(H94),ISBLANK(J94)),"",ROUND(H94*J94,2))</x:f>
      </x:c>
      <x:c r="AC94" s="5">
        <x:f>IF(OR(ISBLANK(I94),ISBLANK(AB94),AB94=0),"",(I94-AB94)/AB94)</x:f>
      </x:c>
      <x:c r="AD94">
        <x:f>IF(OR(ISBLANK(Y94),ISBLANK(Z94)),"",IF(Z94&gt;Y94,"FEHLER: offen &gt; gesamt","OK"))</x:f>
      </x:c>
    </x:row>
    <x:row r="95">
      <x:c r="A95" t="inlineStr">
        <x:is>
          <x:t xml:space="preserve">P10094</x:t>
        </x:is>
      </x:c>
      <x:c r="B95" t="inlineStr">
        <x:is>
          <x:t xml:space="preserve">SKU-1R00Q0MF</x:t>
        </x:is>
      </x:c>
      <x:c r="C95" t="inlineStr">
        <x:is>
          <x:t xml:space="preserve">AlpenFit</x:t>
        </x:is>
      </x:c>
      <x:c r="D95" t="inlineStr">
        <x:is>
          <x:t xml:space="preserve">AlpenFit Yogamatte 6 Pro</x:t>
        </x:is>
      </x:c>
      <x:c r="E95" t="inlineStr">
        <x:is>
          <x:t xml:space="preserve">Sport</x:t>
        </x:is>
      </x:c>
      <x:c r="F95" t="inlineStr">
        <x:is>
          <x:t xml:space="preserve">Fitness</x:t>
        </x:is>
      </x:c>
      <x:c r="G95" t="inlineStr">
        <x:is>
          <x:t xml:space="preserve">AlpenFit Yogamatte 6 Pro aus der Kategorie Sport/Fitness. Farbe: silber. Material: Baumwolle. Gewicht: 1.671 kg.</x:t>
        </x:is>
      </x:c>
      <x:c r="H95" s="2" t="n">
        <x:v>343.03</x:v>
      </x:c>
      <x:c r="I95" s="3" t="n">
        <x:v>373.9</x:v>
      </x:c>
      <x:c r="J95" s="4" t="n">
        <x:v>1.09</x:v>
      </x:c>
      <x:c r="K95" s="5" t="n">
        <x:v>19</x:v>
      </x:c>
      <x:c r="L95" t="n">
        <x:v>131</x:v>
      </x:c>
      <x:c r="M95" s="4" t="n">
        <x:v>1.671</x:v>
      </x:c>
      <x:c r="N95" s="6" t="n">
        <x:v>4.5</x:v>
      </x:c>
      <x:c r="O95" s="6" t="n">
        <x:v>7.1</x:v>
      </x:c>
      <x:c r="P95" s="6" t="n">
        <x:v>0.5</x:v>
      </x:c>
      <x:c r="Q95" t="inlineStr">
        <x:is>
          <x:t xml:space="preserve">silber</x:t>
        </x:is>
      </x:c>
      <x:c r="R95" t="inlineStr">
        <x:is>
          <x:t xml:space="preserve">Baumwolle</x:t>
        </x:is>
      </x:c>
      <x:c r="S95" t="n">
        <x:v>0</x:v>
      </x:c>
      <x:c r="T95" t="inlineStr">
        <x:is>
          <x:t xml:space="preserve"/>
        </x:is>
      </x:c>
      <x:c r="U95" t="inlineStr">
        <x:is>
          <x:t xml:space="preserve"/>
        </x:is>
      </x:c>
      <x:c r="V95" t="inlineStr">
        <x:is>
          <x:t xml:space="preserve"/>
        </x:is>
      </x:c>
      <x:c r="W95" t="inlineStr">
        <x:is>
          <x:t xml:space="preserve"/>
        </x:is>
      </x:c>
      <x:c r="X95" t="inlineStr">
        <x:is>
          <x:t xml:space="preserve"/>
        </x:is>
      </x:c>
      <x:c r="Y95" t="inlineStr">
        <x:is>
          <x:t xml:space="preserve"/>
        </x:is>
      </x:c>
      <x:c r="Z95" t="inlineStr">
        <x:is>
          <x:t xml:space="preserve"/>
        </x:is>
      </x:c>
      <x:c r="AA95" t="inlineStr">
        <x:is>
          <x:t xml:space="preserve">NL</x:t>
        </x:is>
      </x:c>
      <x:c r="AB95" s="3">
        <x:f>IF(OR(ISBLANK(H95),ISBLANK(J95)),"",ROUND(H95*J95,2))</x:f>
      </x:c>
      <x:c r="AC95" s="5">
        <x:f>IF(OR(ISBLANK(I95),ISBLANK(AB95),AB95=0),"",(I95-AB95)/AB95)</x:f>
      </x:c>
      <x:c r="AD95">
        <x:f>IF(OR(ISBLANK(Y95),ISBLANK(Z95)),"",IF(Z95&gt;Y95,"FEHLER: offen &gt; gesamt","OK"))</x:f>
      </x:c>
    </x:row>
    <x:row r="96">
      <x:c r="A96" t="inlineStr">
        <x:is>
          <x:t xml:space="preserve">P10095</x:t>
        </x:is>
      </x:c>
      <x:c r="B96" t="inlineStr">
        <x:is>
          <x:t xml:space="preserve">SKU-ZASNWYWR</x:t>
        </x:is>
      </x:c>
      <x:c r="C96" t="inlineStr">
        <x:is>
          <x:t xml:space="preserve">PolarGear</x:t>
        </x:is>
      </x:c>
      <x:c r="D96" t="inlineStr">
        <x:is>
          <x:t xml:space="preserve">PolarGear Joghurt 1</x:t>
        </x:is>
      </x:c>
      <x:c r="E96" t="inlineStr">
        <x:is>
          <x:t xml:space="preserve">Lebensmittel</x:t>
        </x:is>
      </x:c>
      <x:c r="F96" t="inlineStr">
        <x:is>
          <x:t xml:space="preserve">Frische</x:t>
        </x:is>
      </x:c>
      <x:c r="G96" t="inlineStr">
        <x:is>
          <x:t xml:space="preserve">PolarGear Joghurt 1 aus der Kategorie Lebensmittel/Frische. Farbe: schwarz. Material: Gummi. Gewicht: 0.531 kg.</x:t>
        </x:is>
      </x:c>
      <x:c r="H96" s="2" t="n">
        <x:v>849.86</x:v>
      </x:c>
      <x:c r="I96" s="3" t="n">
        <x:v>926.35</x:v>
      </x:c>
      <x:c r="J96" s="4" t="n">
        <x:v>1.09</x:v>
      </x:c>
      <x:c r="K96" s="5" t="n">
        <x:v>7</x:v>
      </x:c>
      <x:c r="L96" t="n">
        <x:v>118</x:v>
      </x:c>
      <x:c r="M96" s="4" t="n">
        <x:v>0.531</x:v>
      </x:c>
      <x:c r="N96" s="6" t="n">
        <x:v>1</x:v>
      </x:c>
      <x:c r="O96" s="6" t="n">
        <x:v>1</x:v>
      </x:c>
      <x:c r="P96" s="6" t="n">
        <x:v>22.1</x:v>
      </x:c>
      <x:c r="Q96" t="inlineStr">
        <x:is>
          <x:t xml:space="preserve">schwarz</x:t>
        </x:is>
      </x:c>
      <x:c r="R96" t="inlineStr">
        <x:is>
          <x:t xml:space="preserve">Gummi</x:t>
        </x:is>
      </x:c>
      <x:c r="S96" t="n">
        <x:v>0</x:v>
      </x:c>
      <x:c r="T96" t="inlineStr">
        <x:is>
          <x:t xml:space="preserve"/>
        </x:is>
      </x:c>
      <x:c r="U96" t="inlineStr">
        <x:is>
          <x:t xml:space="preserve"/>
        </x:is>
      </x:c>
      <x:c r="V96" t="inlineStr">
        <x:is>
          <x:t xml:space="preserve"/>
        </x:is>
      </x:c>
      <x:c r="W96" t="inlineStr">
        <x:is>
          <x:t xml:space="preserve">2026-02-24</x:t>
        </x:is>
      </x:c>
      <x:c r="X96" t="inlineStr">
        <x:is>
          <x:t xml:space="preserve"/>
        </x:is>
      </x:c>
      <x:c r="Y96" t="inlineStr">
        <x:is>
          <x:t xml:space="preserve"/>
        </x:is>
      </x:c>
      <x:c r="Z96" t="inlineStr">
        <x:is>
          <x:t xml:space="preserve"/>
        </x:is>
      </x:c>
      <x:c r="AA96" t="inlineStr">
        <x:is>
          <x:t xml:space="preserve">NL</x:t>
        </x:is>
      </x:c>
      <x:c r="AB96" s="3">
        <x:f>IF(OR(ISBLANK(H96),ISBLANK(J96)),"",ROUND(H96*J96,2))</x:f>
      </x:c>
      <x:c r="AC96" s="5">
        <x:f>IF(OR(ISBLANK(I96),ISBLANK(AB96),AB96=0),"",(I96-AB96)/AB96)</x:f>
      </x:c>
      <x:c r="AD96">
        <x:f>IF(OR(ISBLANK(Y96),ISBLANK(Z96)),"",IF(Z96&gt;Y96,"FEHLER: offen &gt; gesamt","OK"))</x:f>
      </x:c>
    </x:row>
    <x:row r="97">
      <x:c r="A97" t="inlineStr">
        <x:is>
          <x:t xml:space="preserve">P10096</x:t>
        </x:is>
      </x:c>
      <x:c r="B97" t="inlineStr">
        <x:is>
          <x:t xml:space="preserve">SKU-DDFGS3JO</x:t>
        </x:is>
      </x:c>
      <x:c r="C97" t="inlineStr">
        <x:is>
          <x:t xml:space="preserve">FeinKost</x:t>
        </x:is>
      </x:c>
      <x:c r="D97" t="inlineStr">
        <x:is>
          <x:t xml:space="preserve">FeinKost Joghurt 1 XL</x:t>
        </x:is>
      </x:c>
      <x:c r="E97" t="inlineStr">
        <x:is>
          <x:t xml:space="preserve">Lebensmittel</x:t>
        </x:is>
      </x:c>
      <x:c r="F97" t="inlineStr">
        <x:is>
          <x:t xml:space="preserve">Frische</x:t>
        </x:is>
      </x:c>
      <x:c r="G97" t="inlineStr">
        <x:is>
          <x:t xml:space="preserve">FeinKost Joghurt 1 XL aus der Kategorie Lebensmittel/Frische. Farbe: gelb. Material: Kunststoff. Gewicht: 0.984 kg.</x:t>
        </x:is>
      </x:c>
      <x:c r="H97" s="2" t="n">
        <x:v>482.79</x:v>
      </x:c>
      <x:c r="I97" s="3" t="n">
        <x:v>1110.42</x:v>
      </x:c>
      <x:c r="J97" s="4" t="n">
        <x:v>1.09</x:v>
      </x:c>
      <x:c r="K97" s="5" t="n">
        <x:v>7</x:v>
      </x:c>
      <x:c r="L97" t="n">
        <x:v>481</x:v>
      </x:c>
      <x:c r="M97" s="4" t="n">
        <x:v>0.984</x:v>
      </x:c>
      <x:c r="N97" s="6" t="n">
        <x:v>58.7</x:v>
      </x:c>
      <x:c r="O97" s="6" t="n">
        <x:v>14.9</x:v>
      </x:c>
      <x:c r="P97" s="6" t="n">
        <x:v>0.5</x:v>
      </x:c>
      <x:c r="Q97" t="inlineStr">
        <x:is>
          <x:t xml:space="preserve">gelb</x:t>
        </x:is>
      </x:c>
      <x:c r="R97" t="inlineStr">
        <x:is>
          <x:t xml:space="preserve">Kunststoff</x:t>
        </x:is>
      </x:c>
      <x:c r="S97" t="n">
        <x:v>48</x:v>
      </x:c>
      <x:c r="T97" t="inlineStr">
        <x:is>
          <x:t xml:space="preserve">B</x:t>
        </x:is>
      </x:c>
      <x:c r="U97" t="inlineStr">
        <x:is>
          <x:t xml:space="preserve"/>
        </x:is>
      </x:c>
      <x:c r="V97" t="inlineStr">
        <x:is>
          <x:t xml:space="preserve"/>
        </x:is>
      </x:c>
      <x:c r="W97" t="inlineStr">
        <x:is>
          <x:t xml:space="preserve">2026-04-22</x:t>
        </x:is>
      </x:c>
      <x:c r="X97" t="inlineStr">
        <x:is>
          <x:t xml:space="preserve"/>
        </x:is>
      </x:c>
      <x:c r="Y97" t="inlineStr">
        <x:is>
          <x:t xml:space="preserve"/>
        </x:is>
      </x:c>
      <x:c r="Z97" t="inlineStr">
        <x:is>
          <x:t xml:space="preserve"/>
        </x:is>
      </x:c>
      <x:c r="AA97" t="inlineStr">
        <x:is>
          <x:t xml:space="preserve">IT</x:t>
        </x:is>
      </x:c>
      <x:c r="AB97" s="3">
        <x:f>IF(OR(ISBLANK(H97),ISBLANK(J97)),"",ROUND(H97*J97,2))</x:f>
      </x:c>
      <x:c r="AC97" s="5">
        <x:f>IF(OR(ISBLANK(I97),ISBLANK(AB97),AB97=0),"",(I97-AB97)/AB97)</x:f>
      </x:c>
      <x:c r="AD97">
        <x:f>IF(OR(ISBLANK(Y97),ISBLANK(Z97)),"",IF(Z97&gt;Y97,"FEHLER: offen &gt; gesamt","OK"))</x:f>
      </x:c>
    </x:row>
    <x:row r="98">
      <x:c r="A98" t="inlineStr">
        <x:is>
          <x:t xml:space="preserve">P10097</x:t>
        </x:is>
      </x:c>
      <x:c r="B98" t="inlineStr">
        <x:is>
          <x:t xml:space="preserve">SKU-P2U4DTBH</x:t>
        </x:is>
      </x:c>
      <x:c r="C98" t="inlineStr">
        <x:is>
          <x:t xml:space="preserve">RheinTech</x:t>
        </x:is>
      </x:c>
      <x:c r="D98" t="inlineStr">
        <x:is>
          <x:t xml:space="preserve">RheinTech Scheibenwischer 7 Mini</x:t>
        </x:is>
      </x:c>
      <x:c r="E98" t="inlineStr">
        <x:is>
          <x:t xml:space="preserve">Auto</x:t>
        </x:is>
      </x:c>
      <x:c r="F98" t="inlineStr">
        <x:is>
          <x:t xml:space="preserve">Zubehör</x:t>
        </x:is>
      </x:c>
      <x:c r="G98" t="inlineStr">
        <x:is>
          <x:t xml:space="preserve">RheinTech Scheibenwischer 7 Mini aus der Kategorei Auto/Zubehör. Farbe: schwarz. Material: Edelstahl. Gewicht: 0.074 kg.</x:t>
        </x:is>
      </x:c>
      <x:c r="H98" s="2" t="n">
        <x:v>340.63</x:v>
      </x:c>
      <x:c r="I98" s="3" t="n">
        <x:v>371.29</x:v>
      </x:c>
      <x:c r="J98" s="4" t="n">
        <x:v>1.09</x:v>
      </x:c>
      <x:c r="K98" s="5" t="n">
        <x:v>19</x:v>
      </x:c>
      <x:c r="L98" t="n">
        <x:v>432</x:v>
      </x:c>
      <x:c r="M98" s="4" t="n">
        <x:v>0.074</x:v>
      </x:c>
      <x:c r="N98" s="6" t="n">
        <x:v>35.3</x:v>
      </x:c>
      <x:c r="O98" s="6" t="n">
        <x:v>18.2</x:v>
      </x:c>
      <x:c r="P98" s="6" t="n">
        <x:v>5.2</x:v>
      </x:c>
      <x:c r="Q98" t="inlineStr">
        <x:is>
          <x:t xml:space="preserve">schwarz</x:t>
        </x:is>
      </x:c>
      <x:c r="R98" t="inlineStr">
        <x:is>
          <x:t xml:space="preserve">Edelstahl</x:t>
        </x:is>
      </x:c>
      <x:c r="S98" t="n">
        <x:v>24</x:v>
      </x:c>
      <x:c r="T98" t="inlineStr">
        <x:is>
          <x:t xml:space="preserve"/>
        </x:is>
      </x:c>
      <x:c r="U98" t="inlineStr">
        <x:is>
          <x:t xml:space="preserve"/>
        </x:is>
      </x:c>
      <x:c r="V98" t="inlineStr">
        <x:is>
          <x:t xml:space="preserve"/>
        </x:is>
      </x:c>
      <x:c r="W98" t="inlineStr">
        <x:is>
          <x:t xml:space="preserve"/>
        </x:is>
      </x:c>
      <x:c r="X98" t="inlineStr">
        <x:is>
          <x:t xml:space="preserve"/>
        </x:is>
      </x:c>
      <x:c r="Y98" t="inlineStr">
        <x:is>
          <x:t xml:space="preserve"/>
        </x:is>
      </x:c>
      <x:c r="Z98" t="inlineStr">
        <x:is>
          <x:t xml:space="preserve"/>
        </x:is>
      </x:c>
      <x:c r="AA98" t="inlineStr">
        <x:is>
          <x:t xml:space="preserve">NL</x:t>
        </x:is>
      </x:c>
      <x:c r="AB98" s="3">
        <x:f>IF(OR(ISBLANK(H98),ISBLANK(J98)),"",ROUND(H98*J98,2))</x:f>
      </x:c>
      <x:c r="AC98" s="5">
        <x:f>IF(OR(ISBLANK(I98),ISBLANK(AB98),AB98=0),"",(I98-AB98)/AB98)</x:f>
      </x:c>
      <x:c r="AD98">
        <x:f>IF(OR(ISBLANK(Y98),ISBLANK(Z98)),"",IF(Z98&gt;Y98,"FEHLER: offen &gt; gesamt","OK"))</x:f>
      </x:c>
    </x:row>
    <x:row r="99">
      <x:c r="A99" t="inlineStr">
        <x:is>
          <x:t xml:space="preserve">P10098</x:t>
        </x:is>
      </x:c>
      <x:c r="B99" t="inlineStr">
        <x:is>
          <x:t xml:space="preserve">SKU-FI4O6L1F</x:t>
        </x:is>
      </x:c>
      <x:c r="C99" t="inlineStr">
        <x:is>
          <x:t xml:space="preserve">GartenZeit</x:t>
        </x:is>
      </x:c>
      <x:c r="D99" t="inlineStr">
        <x:is>
          <x:t xml:space="preserve">GartenZeit Joghurt 6</x:t>
        </x:is>
      </x:c>
      <x:c r="E99" t="inlineStr">
        <x:is>
          <x:t xml:space="preserve">Lebensmittel</x:t>
        </x:is>
      </x:c>
      <x:c r="F99" t="inlineStr">
        <x:is>
          <x:t xml:space="preserve">Frische</x:t>
        </x:is>
      </x:c>
      <x:c r="G99" t="inlineStr">
        <x:is>
          <x:t xml:space="preserve">GartenZeit Joghurt 6 aus der Kategorie Lebensmittel/Frische. Farbe: schwarz. Material: Aluminium. Gewicht: 0.058 kg.</x:t>
        </x:is>
      </x:c>
      <x:c r="H99" s="2" t="n">
        <x:v>864.46</x:v>
      </x:c>
      <x:c r="I99" s="3" t="n">
        <x:v>942.26</x:v>
      </x:c>
      <x:c r="J99" s="4" t="n">
        <x:v>1.09</x:v>
      </x:c>
      <x:c r="K99" s="5" t="n">
        <x:v>7</x:v>
      </x:c>
      <x:c r="L99" t="n">
        <x:v>39</x:v>
      </x:c>
      <x:c r="M99" s="4" t="n">
        <x:v>0.001</x:v>
      </x:c>
      <x:c r="N99" s="6" t="n">
        <x:v>8.300000000000001</x:v>
      </x:c>
      <x:c r="O99" s="6" t="n">
        <x:v>16.5</x:v>
      </x:c>
      <x:c r="P99" s="6" t="n">
        <x:v>0.5</x:v>
      </x:c>
      <x:c r="Q99" t="inlineStr">
        <x:is>
          <x:t xml:space="preserve">schwarz</x:t>
        </x:is>
      </x:c>
      <x:c r="R99" t="inlineStr">
        <x:is>
          <x:t xml:space="preserve">Aluminium</x:t>
        </x:is>
      </x:c>
      <x:c r="S99" t="n">
        <x:v>0</x:v>
      </x:c>
      <x:c r="T99" t="inlineStr">
        <x:is>
          <x:t xml:space="preserve"/>
        </x:is>
      </x:c>
      <x:c r="U99" t="inlineStr">
        <x:is>
          <x:t xml:space="preserve"/>
        </x:is>
      </x:c>
      <x:c r="V99" t="inlineStr">
        <x:is>
          <x:t xml:space="preserve"/>
        </x:is>
      </x:c>
      <x:c r="W99" t="inlineStr">
        <x:is>
          <x:t xml:space="preserve">2026-06-23</x:t>
        </x:is>
      </x:c>
      <x:c r="X99" t="inlineStr">
        <x:is>
          <x:t xml:space="preserve"/>
        </x:is>
      </x:c>
      <x:c r="Y99" t="inlineStr">
        <x:is>
          <x:t xml:space="preserve"/>
        </x:is>
      </x:c>
      <x:c r="Z99" t="inlineStr">
        <x:is>
          <x:t xml:space="preserve"/>
        </x:is>
      </x:c>
      <x:c r="AA99" t="inlineStr">
        <x:is>
          <x:t xml:space="preserve">PL</x:t>
        </x:is>
      </x:c>
      <x:c r="AB99" s="3">
        <x:f>IF(OR(ISBLANK(H99),ISBLANK(J99)),"",ROUND(H99*J99,2))</x:f>
      </x:c>
      <x:c r="AC99" s="5">
        <x:f>IF(OR(ISBLANK(I99),ISBLANK(AB99),AB99=0),"",(I99-AB99)/AB99)</x:f>
      </x:c>
      <x:c r="AD99">
        <x:f>IF(OR(ISBLANK(Y99),ISBLANK(Z99)),"",IF(Z99&gt;Y99,"FEHLER: offen &gt; gesamt","OK"))</x:f>
      </x:c>
    </x:row>
    <x:row r="100">
      <x:c r="A100" t="inlineStr">
        <x:is>
          <x:t xml:space="preserve">P10099</x:t>
        </x:is>
      </x:c>
      <x:c r="B100" t="inlineStr">
        <x:is>
          <x:t xml:space="preserve">SKU-NGVN1KIC</x:t>
        </x:is>
      </x:c>
      <x:c r="C100" t="inlineStr">
        <x:is>
          <x:t xml:space="preserve">MünsterWerk</x:t>
        </x:is>
      </x:c>
      <x:c r="D100" t="inlineStr">
        <x:is>
          <x:t xml:space="preserve">MünsterWerk Yogamatte 7 XL</x:t>
        </x:is>
      </x:c>
      <x:c r="E100" t="inlineStr">
        <x:is>
          <x:t xml:space="preserve">Sport</x:t>
        </x:is>
      </x:c>
      <x:c r="F100" t="inlineStr">
        <x:is>
          <x:t xml:space="preserve">Fitness</x:t>
        </x:is>
      </x:c>
      <x:c r="G100" t="inlineStr">
        <x:is>
          <x:t xml:space="preserve">MünsterWerk Yogamatte 7 XL aus der Kategorie Sport/Fitness. Farbe: weiß. Material: Holz. Gewicht: 0.834 kg.</x:t>
        </x:is>
      </x:c>
      <x:c r="H100" s="2" t="n">
        <x:v>29.06</x:v>
      </x:c>
      <x:c r="I100" s="3" t="n">
        <x:v>31.68</x:v>
      </x:c>
      <x:c r="J100" s="4" t="n">
        <x:v>1.09</x:v>
      </x:c>
      <x:c r="K100" s="5" t="n">
        <x:v>19</x:v>
      </x:c>
      <x:c r="L100" t="n">
        <x:v>481</x:v>
      </x:c>
      <x:c r="M100" s="4" t="n">
        <x:v>0.834</x:v>
      </x:c>
      <x:c r="N100" s="6" t="n">
        <x:v>107.5</x:v>
      </x:c>
      <x:c r="O100" s="6" t="n">
        <x:v>6</x:v>
      </x:c>
      <x:c r="P100" s="6" t="n">
        <x:v>10.7</x:v>
      </x:c>
      <x:c r="Q100" t="inlineStr">
        <x:is>
          <x:t xml:space="preserve">weiß</x:t>
        </x:is>
      </x:c>
      <x:c r="R100" t="inlineStr">
        <x:is>
          <x:t xml:space="preserve">Holz</x:t>
        </x:is>
      </x:c>
      <x:c r="S100" t="n">
        <x:v>0</x:v>
      </x:c>
      <x:c r="T100" t="inlineStr">
        <x:is>
          <x:t xml:space="preserve"/>
        </x:is>
      </x:c>
      <x:c r="U100" t="inlineStr">
        <x:is>
          <x:t xml:space="preserve"/>
        </x:is>
      </x:c>
      <x:c r="V100" t="inlineStr">
        <x:is>
          <x:t xml:space="preserve"/>
        </x:is>
      </x:c>
      <x:c r="W100" t="inlineStr">
        <x:is>
          <x:t xml:space="preserve"/>
        </x:is>
      </x:c>
      <x:c r="X100" t="inlineStr">
        <x:is>
          <x:t xml:space="preserve"/>
        </x:is>
      </x:c>
      <x:c r="Y100" t="inlineStr">
        <x:is>
          <x:t xml:space="preserve"/>
        </x:is>
      </x:c>
      <x:c r="Z100" t="inlineStr">
        <x:is>
          <x:t xml:space="preserve"/>
        </x:is>
      </x:c>
      <x:c r="AA100" t="inlineStr">
        <x:is>
          <x:t xml:space="preserve">TR</x:t>
        </x:is>
      </x:c>
      <x:c r="AB100" s="3">
        <x:f>IF(OR(ISBLANK(H100),ISBLANK(J100)),"",ROUND(H100*J100,2))</x:f>
      </x:c>
      <x:c r="AC100" s="5">
        <x:f>IF(OR(ISBLANK(I100),ISBLANK(AB100),AB100=0),"",(I100-AB100)/AB100)</x:f>
      </x:c>
      <x:c r="AD100">
        <x:f>IF(OR(ISBLANK(Y100),ISBLANK(Z100)),"",IF(Z100&gt;Y100,"FEHLER: offen &gt; gesamt","OK"))</x:f>
      </x:c>
    </x:row>
    <x:row r="101">
      <x:c r="A101" t="inlineStr">
        <x:is>
          <x:t xml:space="preserve">P10100</x:t>
        </x:is>
      </x:c>
      <x:c r="B101" t="inlineStr">
        <x:is>
          <x:t xml:space="preserve">SKU-GQTOAMDV</x:t>
        </x:is>
      </x:c>
      <x:c r="C101" t="inlineStr">
        <x:is>
          <x:t xml:space="preserve">HansaHome</x:t>
        </x:is>
      </x:c>
      <x:c r="D101" t="inlineStr">
        <x:is>
          <x:t xml:space="preserve">HansaHome Schraubenset 6</x:t>
        </x:is>
      </x:c>
      <x:c r="E101" t="inlineStr">
        <x:is>
          <x:t xml:space="preserve">Baumarkt</x:t>
        </x:is>
      </x:c>
      <x:c r="F101" t="inlineStr">
        <x:is>
          <x:t xml:space="preserve">Schrauben &amp; Nägel</x:t>
        </x:is>
      </x:c>
      <x:c r="G101" t="inlineStr">
        <x:is>
          <x:t xml:space="preserve">HansaHome Schraubenset 6 aus der Kategorie Baumarkt/Schrauben &amp; Nagel. Farbe: gelb. Material: Holz. Gewicht: 2.013 kg.</x:t>
        </x:is>
      </x:c>
      <x:c r="H101" s="2" t="n">
        <x:v>84.55</x:v>
      </x:c>
      <x:c r="I101" s="3" t="n">
        <x:v>92.16</x:v>
      </x:c>
      <x:c r="J101" s="4" t="n">
        <x:v>1.09</x:v>
      </x:c>
      <x:c r="K101" s="5" t="n">
        <x:v>19</x:v>
      </x:c>
      <x:c r="L101" t="n">
        <x:v>44</x:v>
      </x:c>
      <x:c r="M101" s="4" t="n">
        <x:v>2.013</x:v>
      </x:c>
      <x:c r="N101" s="6" t="n">
        <x:v>20.5</x:v>
      </x:c>
      <x:c r="O101" s="6" t="n">
        <x:v>20.5</x:v>
      </x:c>
      <x:c r="P101" s="6" t="n">
        <x:v>0.001</x:v>
      </x:c>
      <x:c r="Q101" t="inlineStr">
        <x:is>
          <x:t xml:space="preserve">gelb</x:t>
        </x:is>
      </x:c>
      <x:c r="R101" t="inlineStr">
        <x:is>
          <x:t xml:space="preserve">Holz</x:t>
        </x:is>
      </x:c>
      <x:c r="S101" t="n">
        <x:v>24</x:v>
      </x:c>
      <x:c r="T101" t="inlineStr">
        <x:is>
          <x:t xml:space="preserve"/>
        </x:is>
      </x:c>
      <x:c r="U101" t="inlineStr">
        <x:is>
          <x:t xml:space="preserve"/>
        </x:is>
      </x:c>
      <x:c r="V101" t="inlineStr">
        <x:is>
          <x:t xml:space="preserve"/>
        </x:is>
      </x:c>
      <x:c r="W101" t="inlineStr">
        <x:is>
          <x:t xml:space="preserve"/>
        </x:is>
      </x:c>
      <x:c r="X101" t="inlineStr">
        <x:is>
          <x:t xml:space="preserve"/>
        </x:is>
      </x:c>
      <x:c r="Y101" t="inlineStr">
        <x:is>
          <x:t xml:space="preserve"/>
        </x:is>
      </x:c>
      <x:c r="Z101" t="inlineStr">
        <x:is>
          <x:t xml:space="preserve"/>
        </x:is>
      </x:c>
      <x:c r="AA101" t="inlineStr">
        <x:is>
          <x:t xml:space="preserve">IT</x:t>
        </x:is>
      </x:c>
      <x:c r="AB101" s="3">
        <x:f>IF(OR(ISBLANK(H101),ISBLANK(J101)),"",ROUND(H101*J101,2))</x:f>
      </x:c>
      <x:c r="AC101" s="5">
        <x:f>IF(OR(ISBLANK(I101),ISBLANK(AB101),AB101=0),"",(I101-AB101)/AB101)</x:f>
      </x:c>
      <x:c r="AD101">
        <x:f>IF(OR(ISBLANK(Y101),ISBLANK(Z101)),"",IF(Z101&gt;Y101,"FEHLER: offen &gt; gesamt","OK"))</x:f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customWidth="1"/>
    <x:col min="2" max="2" width="14" customWidth="1"/>
    <x:col min="3" max="3" width="70" customWidth="1"/>
    <x:col min="4" max="4" width="12" customWidth="1"/>
  </x:cols>
  <x:sheetData>
    <x:row r="1">
      <x:c r="A1" s="1" t="inlineStr">
        <x:is>
          <x:t xml:space="preserve">Produkt_ID</x:t>
        </x:is>
      </x:c>
      <x:c r="B1" s="1" t="inlineStr">
        <x:is>
          <x:t xml:space="preserve">SKU</x:t>
        </x:is>
      </x:c>
      <x:c r="C1" s="1" t="inlineStr">
        <x:is>
          <x:t xml:space="preserve">Planted_Errors</x:t>
        </x:is>
      </x:c>
      <x:c r="D1" s="1" t="inlineStr">
        <x:is>
          <x:t xml:space="preserve">Error_Count</x:t>
        </x:is>
      </x:c>
    </x:row>
    <x:row r="2">
      <x:c r="A2" t="inlineStr">
        <x:is>
          <x:t xml:space="preserve">P10001</x:t>
        </x:is>
      </x:c>
      <x:c r="B2" t="inlineStr">
        <x:is>
          <x:t xml:space="preserve">SKU-BHSAHXTH</x:t>
        </x:is>
      </x:c>
      <x:c r="C2" t="inlineStr">
        <x:is>
          <x:t xml:space="preserve">Rechtschreibung/Grammatik; Inkonsistenz: MHD bei Non-Food</x:t>
        </x:is>
      </x:c>
      <x:c r="D2" t="n">
        <x:v>2</x:v>
      </x:c>
    </x:row>
    <x:row r="3">
      <x:c r="A3" t="inlineStr">
        <x:is>
          <x:t xml:space="preserve">P10002</x:t>
        </x:is>
      </x:c>
      <x:c r="B3" t="inlineStr">
        <x:is>
          <x:t xml:space="preserve">SKU-QE7CKW5N</x:t>
        </x:is>
      </x:c>
      <x:c r="C3" t="inlineStr">
        <x:is>
          <x:t xml:space="preserve">Rechtschreibung/Grammatik; Fehlt: Preis_EUR</x:t>
        </x:is>
      </x:c>
      <x:c r="D3" t="n">
        <x:v>2</x:v>
      </x:c>
    </x:row>
    <x:row r="4">
      <x:c r="A4" t="inlineStr">
        <x:is>
          <x:t xml:space="preserve">P10003</x:t>
        </x:is>
      </x:c>
      <x:c r="B4" t="inlineStr">
        <x:is>
          <x:t xml:space="preserve">SKU-QE7CKW5N</x:t>
        </x:is>
      </x:c>
      <x:c r="C4" t="inlineStr">
        <x:is>
          <x:t xml:space="preserve">SKU-Duplikat; Rechtschreibung/Grammatik</x:t>
        </x:is>
      </x:c>
      <x:c r="D4" t="n">
        <x:v>2</x:v>
      </x:c>
    </x:row>
    <x:row r="5">
      <x:c r="A5" t="inlineStr">
        <x:is>
          <x:t xml:space="preserve">P10004</x:t>
        </x:is>
      </x:c>
      <x:c r="B5" t="inlineStr">
        <x:is>
          <x:t xml:space="preserve">SKU-JIUJV6OH</x:t>
        </x:is>
      </x:c>
      <x:c r="C5" t="inlineStr">
        <x:is>
          <x:t xml:space="preserve">Rechtschreibung/Grammatik</x:t>
        </x:is>
      </x:c>
      <x:c r="D5" t="n">
        <x:v>1</x:v>
      </x:c>
    </x:row>
    <x:row r="6">
      <x:c r="A6" t="inlineStr">
        <x:is>
          <x:t xml:space="preserve">P10005</x:t>
        </x:is>
      </x:c>
      <x:c r="B6" t="inlineStr">
        <x:is>
          <x:t xml:space="preserve">SKU-JIUJV6OH</x:t>
        </x:is>
      </x:c>
      <x:c r="C6" t="inlineStr">
        <x:is>
          <x:t xml:space="preserve">SKU-Duplikat; Inkonsistenz: MHD bei Non-Food; Energieklasse bei unpassender Kategorie</x:t>
        </x:is>
      </x:c>
      <x:c r="D6" t="n">
        <x:v>3</x:v>
      </x:c>
    </x:row>
    <x:row r="7">
      <x:c r="A7" t="inlineStr">
        <x:is>
          <x:t xml:space="preserve">P10006</x:t>
        </x:is>
      </x:c>
      <x:c r="B7" t="inlineStr">
        <x:is>
          <x:t xml:space="preserve">SKU-LA753LC5</x:t>
        </x:is>
      </x:c>
      <x:c r="C7" t="inlineStr">
        <x:is>
          <x:t xml:space="preserve"/>
        </x:is>
      </x:c>
      <x:c r="D7" t="n">
        <x:v>0</x:v>
      </x:c>
    </x:row>
    <x:row r="8">
      <x:c r="A8" t="inlineStr">
        <x:is>
          <x:t xml:space="preserve">P10007</x:t>
        </x:is>
      </x:c>
      <x:c r="B8" t="inlineStr">
        <x:is>
          <x:t xml:space="preserve">SKU-T0HL9XPS</x:t>
        </x:is>
      </x:c>
      <x:c r="C8" t="inlineStr">
        <x:is>
          <x:t xml:space="preserve"/>
        </x:is>
      </x:c>
      <x:c r="D8" t="n">
        <x:v>0</x:v>
      </x:c>
    </x:row>
    <x:row r="9">
      <x:c r="A9" t="inlineStr">
        <x:is>
          <x:t xml:space="preserve">P10008</x:t>
        </x:is>
      </x:c>
      <x:c r="B9" t="inlineStr">
        <x:is>
          <x:t xml:space="preserve">SKU-SKRT05UI</x:t>
        </x:is>
      </x:c>
      <x:c r="C9" t="inlineStr">
        <x:is>
          <x:t xml:space="preserve">Inkonsistenz: MHD bei Non-Food; Rechtschreibung/Grammatik</x:t>
        </x:is>
      </x:c>
      <x:c r="D9" t="n">
        <x:v>2</x:v>
      </x:c>
    </x:row>
    <x:row r="10">
      <x:c r="A10" t="inlineStr">
        <x:is>
          <x:t xml:space="preserve">P10009</x:t>
        </x:is>
      </x:c>
      <x:c r="B10" t="inlineStr">
        <x:is>
          <x:t xml:space="preserve">SKU-SKRT05UI</x:t>
        </x:is>
      </x:c>
      <x:c r="C10" t="inlineStr">
        <x:is>
          <x:t xml:space="preserve">SKU-Duplikat</x:t>
        </x:is>
      </x:c>
      <x:c r="D10" t="n">
        <x:v>1</x:v>
      </x:c>
    </x:row>
    <x:row r="11">
      <x:c r="A11" t="inlineStr">
        <x:is>
          <x:t xml:space="preserve">P10010</x:t>
        </x:is>
      </x:c>
      <x:c r="B11" t="inlineStr">
        <x:is>
          <x:t xml:space="preserve">SKU-FAO72KZ0</x:t>
        </x:is>
      </x:c>
      <x:c r="C11" t="inlineStr">
        <x:is>
          <x:t xml:space="preserve"/>
        </x:is>
      </x:c>
      <x:c r="D11" t="n">
        <x:v>0</x:v>
      </x:c>
    </x:row>
    <x:row r="12">
      <x:c r="A12" t="inlineStr">
        <x:is>
          <x:t xml:space="preserve">P10011</x:t>
        </x:is>
      </x:c>
      <x:c r="B12" t="inlineStr">
        <x:is>
          <x:t xml:space="preserve">SKU-CS4CC5O7</x:t>
        </x:is>
      </x:c>
      <x:c r="C12" t="inlineStr">
        <x:is>
          <x:t xml:space="preserve">Rechtschreibung/Grammatik</x:t>
        </x:is>
      </x:c>
      <x:c r="D12" t="n">
        <x:v>1</x:v>
      </x:c>
    </x:row>
    <x:row r="13">
      <x:c r="A13" t="inlineStr">
        <x:is>
          <x:t xml:space="preserve">P10012</x:t>
        </x:is>
      </x:c>
      <x:c r="B13" t="inlineStr">
        <x:is>
          <x:t xml:space="preserve">SKU-L1CQ99CH</x:t>
        </x:is>
      </x:c>
      <x:c r="C13" t="inlineStr">
        <x:is>
          <x:t xml:space="preserve"/>
        </x:is>
      </x:c>
      <x:c r="D13" t="n">
        <x:v>0</x:v>
      </x:c>
    </x:row>
    <x:row r="14">
      <x:c r="A14" t="inlineStr">
        <x:is>
          <x:t xml:space="preserve">P10013</x:t>
        </x:is>
      </x:c>
      <x:c r="B14" t="inlineStr">
        <x:is>
          <x:t xml:space="preserve">SKU-A3KX7EED</x:t>
        </x:is>
      </x:c>
      <x:c r="C14" t="inlineStr">
        <x:is>
          <x:t xml:space="preserve">Energieklasse bei unpassender Kategorie</x:t>
        </x:is>
      </x:c>
      <x:c r="D14" t="n">
        <x:v>1</x:v>
      </x:c>
    </x:row>
    <x:row r="15">
      <x:c r="A15" t="inlineStr">
        <x:is>
          <x:t xml:space="preserve">P10014</x:t>
        </x:is>
      </x:c>
      <x:c r="B15" t="inlineStr">
        <x:is>
          <x:t xml:space="preserve">SKU-A3KX7EED</x:t>
        </x:is>
      </x:c>
      <x:c r="C15" t="inlineStr">
        <x:is>
          <x:t xml:space="preserve">SKU-Duplikat</x:t>
        </x:is>
      </x:c>
      <x:c r="D15" t="n">
        <x:v>1</x:v>
      </x:c>
    </x:row>
    <x:row r="16">
      <x:c r="A16" t="inlineStr">
        <x:is>
          <x:t xml:space="preserve">P10015</x:t>
        </x:is>
      </x:c>
      <x:c r="B16" t="inlineStr">
        <x:is>
          <x:t xml:space="preserve">SKU-A3KX7EED</x:t>
        </x:is>
      </x:c>
      <x:c r="C16" t="inlineStr">
        <x:is>
          <x:t xml:space="preserve">SKU-Duplikat; Inkonsistenz: MHD bei Non-Food</x:t>
        </x:is>
      </x:c>
      <x:c r="D16" t="n">
        <x:v>2</x:v>
      </x:c>
    </x:row>
    <x:row r="17">
      <x:c r="A17" t="inlineStr">
        <x:is>
          <x:t xml:space="preserve">P10016</x:t>
        </x:is>
      </x:c>
      <x:c r="B17" t="inlineStr">
        <x:is>
          <x:t xml:space="preserve">SKU-A3KX7EED</x:t>
        </x:is>
      </x:c>
      <x:c r="C17" t="inlineStr">
        <x:is>
          <x:t xml:space="preserve">SKU-Duplikat; Unplausibel: Breite_cm</x:t>
        </x:is>
      </x:c>
      <x:c r="D17" t="n">
        <x:v>2</x:v>
      </x:c>
    </x:row>
    <x:row r="18">
      <x:c r="A18" t="inlineStr">
        <x:is>
          <x:t xml:space="preserve">P10017</x:t>
        </x:is>
      </x:c>
      <x:c r="B18" t="inlineStr">
        <x:is>
          <x:t xml:space="preserve">SKU-P0LVSNUJ</x:t>
        </x:is>
      </x:c>
      <x:c r="C18" t="inlineStr">
        <x:is>
          <x:t xml:space="preserve"/>
        </x:is>
      </x:c>
      <x:c r="D18" t="n">
        <x:v>0</x:v>
      </x:c>
    </x:row>
    <x:row r="19">
      <x:c r="A19" t="inlineStr">
        <x:is>
          <x:t xml:space="preserve">P10018</x:t>
        </x:is>
      </x:c>
      <x:c r="B19" t="inlineStr">
        <x:is>
          <x:t xml:space="preserve">SKU-SYLZTGXN</x:t>
        </x:is>
      </x:c>
      <x:c r="C19" t="inlineStr">
        <x:is>
          <x:t xml:space="preserve">Unplausibel: Höhe_cm</x:t>
        </x:is>
      </x:c>
      <x:c r="D19" t="n">
        <x:v>1</x:v>
      </x:c>
    </x:row>
    <x:row r="20">
      <x:c r="A20" t="inlineStr">
        <x:is>
          <x:t xml:space="preserve">P10019</x:t>
        </x:is>
      </x:c>
      <x:c r="B20" t="inlineStr">
        <x:is>
          <x:t xml:space="preserve">SKU-DSWM31YI</x:t>
        </x:is>
      </x:c>
      <x:c r="C20" t="inlineStr">
        <x:is>
          <x:t xml:space="preserve"/>
        </x:is>
      </x:c>
      <x:c r="D20" t="n">
        <x:v>0</x:v>
      </x:c>
    </x:row>
    <x:row r="21">
      <x:c r="A21" t="inlineStr">
        <x:is>
          <x:t xml:space="preserve">P10020</x:t>
        </x:is>
      </x:c>
      <x:c r="B21" t="inlineStr">
        <x:is>
          <x:t xml:space="preserve">SKU-2H2ZQU7E</x:t>
        </x:is>
      </x:c>
      <x:c r="C21" t="inlineStr">
        <x:is>
          <x:t xml:space="preserve">Fehlt: Preis_EUR; Energieklasse bei unpassender Kategorie</x:t>
        </x:is>
      </x:c>
      <x:c r="D21" t="n">
        <x:v>2</x:v>
      </x:c>
    </x:row>
    <x:row r="22">
      <x:c r="A22" t="inlineStr">
        <x:is>
          <x:t xml:space="preserve">P10021</x:t>
        </x:is>
      </x:c>
      <x:c r="B22" t="inlineStr">
        <x:is>
          <x:t xml:space="preserve">SKU-RIPZIM6C</x:t>
        </x:is>
      </x:c>
      <x:c r="C22" t="inlineStr">
        <x:is>
          <x:t xml:space="preserve"/>
        </x:is>
      </x:c>
      <x:c r="D22" t="n">
        <x:v>0</x:v>
      </x:c>
    </x:row>
    <x:row r="23">
      <x:c r="A23" t="inlineStr">
        <x:is>
          <x:t xml:space="preserve">P10022</x:t>
        </x:is>
      </x:c>
      <x:c r="B23" t="inlineStr">
        <x:is>
          <x:t xml:space="preserve">SKU-8A5UR7KO</x:t>
        </x:is>
      </x:c>
      <x:c r="C23" t="inlineStr">
        <x:is>
          <x:t xml:space="preserve">Fehlt: Kategorie_1</x:t>
        </x:is>
      </x:c>
      <x:c r="D23" t="n">
        <x:v>1</x:v>
      </x:c>
    </x:row>
    <x:row r="24">
      <x:c r="A24" t="inlineStr">
        <x:is>
          <x:t xml:space="preserve">P10023</x:t>
        </x:is>
      </x:c>
      <x:c r="B24" t="inlineStr">
        <x:is>
          <x:t xml:space="preserve">SKU-EWAOUAXE</x:t>
        </x:is>
      </x:c>
      <x:c r="C24" t="inlineStr">
        <x:is>
          <x:t xml:space="preserve"/>
        </x:is>
      </x:c>
      <x:c r="D24" t="n">
        <x:v>0</x:v>
      </x:c>
    </x:row>
    <x:row r="25">
      <x:c r="A25" t="inlineStr">
        <x:is>
          <x:t xml:space="preserve">P10024</x:t>
        </x:is>
      </x:c>
      <x:c r="B25" t="inlineStr">
        <x:is>
          <x:t xml:space="preserve">SKU-CAT9MX2X</x:t>
        </x:is>
      </x:c>
      <x:c r="C25" t="inlineStr">
        <x:is>
          <x:t xml:space="preserve">Inkonsistenz: MHD bei Non-Food; Rechtschreibung/Grammatik; Energieklasse bei unpassender Kategorie</x:t>
        </x:is>
      </x:c>
      <x:c r="D25" t="n">
        <x:v>3</x:v>
      </x:c>
    </x:row>
    <x:row r="26">
      <x:c r="A26" t="inlineStr">
        <x:is>
          <x:t xml:space="preserve">P10025</x:t>
        </x:is>
      </x:c>
      <x:c r="B26" t="inlineStr">
        <x:is>
          <x:t xml:space="preserve">SKU-38DALY8O</x:t>
        </x:is>
      </x:c>
      <x:c r="C26" t="inlineStr">
        <x:is>
          <x:t xml:space="preserve"/>
        </x:is>
      </x:c>
      <x:c r="D26" t="n">
        <x:v>0</x:v>
      </x:c>
    </x:row>
    <x:row r="27">
      <x:c r="A27" t="inlineStr">
        <x:is>
          <x:t xml:space="preserve">P10026</x:t>
        </x:is>
      </x:c>
      <x:c r="B27" t="inlineStr">
        <x:is>
          <x:t xml:space="preserve">SKU-PRPN6QFG</x:t>
        </x:is>
      </x:c>
      <x:c r="C27" t="inlineStr">
        <x:is>
          <x:t xml:space="preserve">Energieklasse bei unpassender Kategorie</x:t>
        </x:is>
      </x:c>
      <x:c r="D27" t="n">
        <x:v>1</x:v>
      </x:c>
    </x:row>
    <x:row r="28">
      <x:c r="A28" t="inlineStr">
        <x:is>
          <x:t xml:space="preserve">P10027</x:t>
        </x:is>
      </x:c>
      <x:c r="B28" t="inlineStr">
        <x:is>
          <x:t xml:space="preserve">SKU-YMRLRMJK</x:t>
        </x:is>
      </x:c>
      <x:c r="C28" t="inlineStr">
        <x:is>
          <x:t xml:space="preserve">Energieklasse bei unpassender Kategorie</x:t>
        </x:is>
      </x:c>
      <x:c r="D28" t="n">
        <x:v>1</x:v>
      </x:c>
    </x:row>
    <x:row r="29">
      <x:c r="A29" t="inlineStr">
        <x:is>
          <x:t xml:space="preserve">P10028</x:t>
        </x:is>
      </x:c>
      <x:c r="B29" t="inlineStr">
        <x:is>
          <x:t xml:space="preserve">SKU-XNTM9TMQ</x:t>
        </x:is>
      </x:c>
      <x:c r="C29" t="inlineStr">
        <x:is>
          <x:t xml:space="preserve">Rechtschreibung/Grammatik</x:t>
        </x:is>
      </x:c>
      <x:c r="D29" t="n">
        <x:v>1</x:v>
      </x:c>
    </x:row>
    <x:row r="30">
      <x:c r="A30" t="inlineStr">
        <x:is>
          <x:t xml:space="preserve">P10029</x:t>
        </x:is>
      </x:c>
      <x:c r="B30" t="inlineStr">
        <x:is>
          <x:t xml:space="preserve">SKU-3KMKZEBB</x:t>
        </x:is>
      </x:c>
      <x:c r="C30" t="inlineStr">
        <x:is>
          <x:t xml:space="preserve">Inkonsistenz: MHD bei Non-Food</x:t>
        </x:is>
      </x:c>
      <x:c r="D30" t="n">
        <x:v>1</x:v>
      </x:c>
    </x:row>
    <x:row r="31">
      <x:c r="A31" t="inlineStr">
        <x:is>
          <x:t xml:space="preserve">P10030</x:t>
        </x:is>
      </x:c>
      <x:c r="B31" t="inlineStr">
        <x:is>
          <x:t xml:space="preserve">SKU-3OCWBFUK</x:t>
        </x:is>
      </x:c>
      <x:c r="C31" t="inlineStr">
        <x:is>
          <x:t xml:space="preserve"/>
        </x:is>
      </x:c>
      <x:c r="D31" t="n">
        <x:v>0</x:v>
      </x:c>
    </x:row>
    <x:row r="32">
      <x:c r="A32" t="inlineStr">
        <x:is>
          <x:t xml:space="preserve">P10031</x:t>
        </x:is>
      </x:c>
      <x:c r="B32" t="inlineStr">
        <x:is>
          <x:t xml:space="preserve">SKU-C8D1WJCI</x:t>
        </x:is>
      </x:c>
      <x:c r="C32" t="inlineStr">
        <x:is>
          <x:t xml:space="preserve"/>
        </x:is>
      </x:c>
      <x:c r="D32" t="n">
        <x:v>0</x:v>
      </x:c>
    </x:row>
    <x:row r="33">
      <x:c r="A33" t="inlineStr">
        <x:is>
          <x:t xml:space="preserve">P10032</x:t>
        </x:is>
      </x:c>
      <x:c r="B33" t="inlineStr">
        <x:is>
          <x:t xml:space="preserve">SKU-C8D1WJCI</x:t>
        </x:is>
      </x:c>
      <x:c r="C33" t="inlineStr">
        <x:is>
          <x:t xml:space="preserve">Rechtschreibung/Grammatik; SKU-Duplikat</x:t>
        </x:is>
      </x:c>
      <x:c r="D33" t="n">
        <x:v>2</x:v>
      </x:c>
    </x:row>
    <x:row r="34">
      <x:c r="A34" t="inlineStr">
        <x:is>
          <x:t xml:space="preserve">P10033</x:t>
        </x:is>
      </x:c>
      <x:c r="B34" t="inlineStr">
        <x:is>
          <x:t xml:space="preserve">SKU-CBPLJD84</x:t>
        </x:is>
      </x:c>
      <x:c r="C34" t="inlineStr">
        <x:is>
          <x:t xml:space="preserve">Fehlt: Produktname; Unplausibel: Länge_cm; Energieklasse bei unpassender Kategorie</x:t>
        </x:is>
      </x:c>
      <x:c r="D34" t="n">
        <x:v>3</x:v>
      </x:c>
    </x:row>
    <x:row r="35">
      <x:c r="A35" t="inlineStr">
        <x:is>
          <x:t xml:space="preserve">P10034</x:t>
        </x:is>
      </x:c>
      <x:c r="B35" t="inlineStr">
        <x:is>
          <x:t xml:space="preserve">SKU-LYK83TQL</x:t>
        </x:is>
      </x:c>
      <x:c r="C35" t="inlineStr">
        <x:is>
          <x:t xml:space="preserve"/>
        </x:is>
      </x:c>
      <x:c r="D35" t="n">
        <x:v>0</x:v>
      </x:c>
    </x:row>
    <x:row r="36">
      <x:c r="A36" t="inlineStr">
        <x:is>
          <x:t xml:space="preserve">P10035</x:t>
        </x:is>
      </x:c>
      <x:c r="B36" t="inlineStr">
        <x:is>
          <x:t xml:space="preserve">SKU-HT7PZE9V</x:t>
        </x:is>
      </x:c>
      <x:c r="C36" t="inlineStr">
        <x:is>
          <x:t xml:space="preserve">Unplausibel: Gewicht_kg; Energieklasse bei unpassender Kategorie</x:t>
        </x:is>
      </x:c>
      <x:c r="D36" t="n">
        <x:v>2</x:v>
      </x:c>
    </x:row>
    <x:row r="37">
      <x:c r="A37" t="inlineStr">
        <x:is>
          <x:t xml:space="preserve">P10036</x:t>
        </x:is>
      </x:c>
      <x:c r="B37" t="inlineStr">
        <x:is>
          <x:t xml:space="preserve">SKU-FGV0EC14</x:t>
        </x:is>
      </x:c>
      <x:c r="C37" t="inlineStr">
        <x:is>
          <x:t xml:space="preserve">Energieklasse bei unpassender Kategorie; Unplausibel: Preis_EUR; Rechtschreibung/Grammatik</x:t>
        </x:is>
      </x:c>
      <x:c r="D37" t="n">
        <x:v>3</x:v>
      </x:c>
    </x:row>
    <x:row r="38">
      <x:c r="A38" t="inlineStr">
        <x:is>
          <x:t xml:space="preserve">P10037</x:t>
        </x:is>
      </x:c>
      <x:c r="B38" t="inlineStr">
        <x:is>
          <x:t xml:space="preserve">SKU-IN4OLR6N</x:t>
        </x:is>
      </x:c>
      <x:c r="C38" t="inlineStr">
        <x:is>
          <x:t xml:space="preserve">Rechtschreibung/Grammatik</x:t>
        </x:is>
      </x:c>
      <x:c r="D38" t="n">
        <x:v>1</x:v>
      </x:c>
    </x:row>
    <x:row r="39">
      <x:c r="A39" t="inlineStr">
        <x:is>
          <x:t xml:space="preserve">P10038</x:t>
        </x:is>
      </x:c>
      <x:c r="B39" t="inlineStr">
        <x:is>
          <x:t xml:space="preserve">SKU-IN4OLR6N</x:t>
        </x:is>
      </x:c>
      <x:c r="C39" t="inlineStr">
        <x:is>
          <x:t xml:space="preserve">Fehlt: Produktname; SKU-Duplikat; USD passt nicht zu EUR-Kurs</x:t>
        </x:is>
      </x:c>
      <x:c r="D39" t="n">
        <x:v>3</x:v>
      </x:c>
    </x:row>
    <x:row r="40">
      <x:c r="A40" t="inlineStr">
        <x:is>
          <x:t xml:space="preserve">P10039</x:t>
        </x:is>
      </x:c>
      <x:c r="B40" t="inlineStr">
        <x:is>
          <x:t xml:space="preserve">SKU-IN4OLR6N</x:t>
        </x:is>
      </x:c>
      <x:c r="C40" t="inlineStr">
        <x:is>
          <x:t xml:space="preserve">Inkonsistenz: MHD bei Non-Food; SKU-Duplikat</x:t>
        </x:is>
      </x:c>
      <x:c r="D40" t="n">
        <x:v>2</x:v>
      </x:c>
    </x:row>
    <x:row r="41">
      <x:c r="A41" t="inlineStr">
        <x:is>
          <x:t xml:space="preserve">P10040</x:t>
        </x:is>
      </x:c>
      <x:c r="B41" t="inlineStr">
        <x:is>
          <x:t xml:space="preserve">SKU-MVXPJ4HN</x:t>
        </x:is>
      </x:c>
      <x:c r="C41" t="inlineStr">
        <x:is>
          <x:t xml:space="preserve"/>
        </x:is>
      </x:c>
      <x:c r="D41" t="n">
        <x:v>0</x:v>
      </x:c>
    </x:row>
    <x:row r="42">
      <x:c r="A42" t="inlineStr">
        <x:is>
          <x:t xml:space="preserve">P10041</x:t>
        </x:is>
      </x:c>
      <x:c r="B42" t="inlineStr">
        <x:is>
          <x:t xml:space="preserve">SKU-0BVR6K2V</x:t>
        </x:is>
      </x:c>
      <x:c r="C42" t="inlineStr">
        <x:is>
          <x:t xml:space="preserve"/>
        </x:is>
      </x:c>
      <x:c r="D42" t="n">
        <x:v>0</x:v>
      </x:c>
    </x:row>
    <x:row r="43">
      <x:c r="A43" t="inlineStr">
        <x:is>
          <x:t xml:space="preserve">P10042</x:t>
        </x:is>
      </x:c>
      <x:c r="B43" t="inlineStr">
        <x:is>
          <x:t xml:space="preserve">SKU-0BVR6K2V</x:t>
        </x:is>
      </x:c>
      <x:c r="C43" t="inlineStr">
        <x:is>
          <x:t xml:space="preserve">SKU-Duplikat</x:t>
        </x:is>
      </x:c>
      <x:c r="D43" t="n">
        <x:v>1</x:v>
      </x:c>
    </x:row>
    <x:row r="44">
      <x:c r="A44" t="inlineStr">
        <x:is>
          <x:t xml:space="preserve">P10043</x:t>
        </x:is>
      </x:c>
      <x:c r="B44" t="inlineStr">
        <x:is>
          <x:t xml:space="preserve">SKU-0BVR6K2V</x:t>
        </x:is>
      </x:c>
      <x:c r="C44" t="inlineStr">
        <x:is>
          <x:t xml:space="preserve">SKU-Duplikat</x:t>
        </x:is>
      </x:c>
      <x:c r="D44" t="n">
        <x:v>1</x:v>
      </x:c>
    </x:row>
    <x:row r="45">
      <x:c r="A45" t="inlineStr">
        <x:is>
          <x:t xml:space="preserve">P10044</x:t>
        </x:is>
      </x:c>
      <x:c r="B45" t="inlineStr">
        <x:is>
          <x:t xml:space="preserve">SKU-36KOF8KR</x:t>
        </x:is>
      </x:c>
      <x:c r="C45" t="inlineStr">
        <x:is>
          <x:t xml:space="preserve"/>
        </x:is>
      </x:c>
      <x:c r="D45" t="n">
        <x:v>0</x:v>
      </x:c>
    </x:row>
    <x:row r="46">
      <x:c r="A46" t="inlineStr">
        <x:is>
          <x:t xml:space="preserve">P10045</x:t>
        </x:is>
      </x:c>
      <x:c r="B46" t="inlineStr">
        <x:is>
          <x:t xml:space="preserve">SKU-7KYHQIN9</x:t>
        </x:is>
      </x:c>
      <x:c r="C46" t="inlineStr">
        <x:is>
          <x:t xml:space="preserve">Fehlt: Preis_EUR</x:t>
        </x:is>
      </x:c>
      <x:c r="D46" t="n">
        <x:v>1</x:v>
      </x:c>
    </x:row>
    <x:row r="47">
      <x:c r="A47" t="inlineStr">
        <x:is>
          <x:t xml:space="preserve">P10046</x:t>
        </x:is>
      </x:c>
      <x:c r="B47" t="inlineStr">
        <x:is>
          <x:t xml:space="preserve">SKU-H3TV3I12</x:t>
        </x:is>
      </x:c>
      <x:c r="C47" t="inlineStr">
        <x:is>
          <x:t xml:space="preserve">Inkonsistenz: MHD bei Non-Food</x:t>
        </x:is>
      </x:c>
      <x:c r="D47" t="n">
        <x:v>1</x:v>
      </x:c>
    </x:row>
    <x:row r="48">
      <x:c r="A48" t="inlineStr">
        <x:is>
          <x:t xml:space="preserve">P10047</x:t>
        </x:is>
      </x:c>
      <x:c r="B48" t="inlineStr">
        <x:is>
          <x:t xml:space="preserve">SKU-EPECQNVQ</x:t>
        </x:is>
      </x:c>
      <x:c r="C48" t="inlineStr">
        <x:is>
          <x:t xml:space="preserve">Rechtschreibung/Grammatik; Fehlt: Beschreibung; Energieklasse bei unpassender Kategorie</x:t>
        </x:is>
      </x:c>
      <x:c r="D48" t="n">
        <x:v>3</x:v>
      </x:c>
    </x:row>
    <x:row r="49">
      <x:c r="A49" t="inlineStr">
        <x:is>
          <x:t xml:space="preserve">P10048</x:t>
        </x:is>
      </x:c>
      <x:c r="B49" t="inlineStr">
        <x:is>
          <x:t xml:space="preserve">SKU-WTL9TQVD</x:t>
        </x:is>
      </x:c>
      <x:c r="C49" t="inlineStr">
        <x:is>
          <x:t xml:space="preserve">Fehlt: Kategorie_1; Energieklasse bei unpassender Kategorie</x:t>
        </x:is>
      </x:c>
      <x:c r="D49" t="n">
        <x:v>2</x:v>
      </x:c>
    </x:row>
    <x:row r="50">
      <x:c r="A50" t="inlineStr">
        <x:is>
          <x:t xml:space="preserve">P10049</x:t>
        </x:is>
      </x:c>
      <x:c r="B50" t="inlineStr">
        <x:is>
          <x:t xml:space="preserve">SKU-YRDDP0NE</x:t>
        </x:is>
      </x:c>
      <x:c r="C50" t="inlineStr">
        <x:is>
          <x:t xml:space="preserve">Energieklasse bei unpassender Kategorie</x:t>
        </x:is>
      </x:c>
      <x:c r="D50" t="n">
        <x:v>1</x:v>
      </x:c>
    </x:row>
    <x:row r="51">
      <x:c r="A51" t="inlineStr">
        <x:is>
          <x:t xml:space="preserve">P10050</x:t>
        </x:is>
      </x:c>
      <x:c r="B51" t="inlineStr">
        <x:is>
          <x:t xml:space="preserve">SKU-YRDDP0NE</x:t>
        </x:is>
      </x:c>
      <x:c r="C51" t="inlineStr">
        <x:is>
          <x:t xml:space="preserve">SKU-Duplikat; Energieklasse bei unpassender Kategorie</x:t>
        </x:is>
      </x:c>
      <x:c r="D51" t="n">
        <x:v>2</x:v>
      </x:c>
    </x:row>
    <x:row r="52">
      <x:c r="A52" t="inlineStr">
        <x:is>
          <x:t xml:space="preserve">P10051</x:t>
        </x:is>
      </x:c>
      <x:c r="B52" t="inlineStr">
        <x:is>
          <x:t xml:space="preserve">SKU-XC08DTNQ</x:t>
        </x:is>
      </x:c>
      <x:c r="C52" t="inlineStr">
        <x:is>
          <x:t xml:space="preserve">Fehlt: Preis_EUR</x:t>
        </x:is>
      </x:c>
      <x:c r="D52" t="n">
        <x:v>1</x:v>
      </x:c>
    </x:row>
    <x:row r="53">
      <x:c r="A53" t="inlineStr">
        <x:is>
          <x:t xml:space="preserve">P10052</x:t>
        </x:is>
      </x:c>
      <x:c r="B53" t="inlineStr">
        <x:is>
          <x:t xml:space="preserve">SKU-OHSMDYVS</x:t>
        </x:is>
      </x:c>
      <x:c r="C53" t="inlineStr">
        <x:is>
          <x:t xml:space="preserve"/>
        </x:is>
      </x:c>
      <x:c r="D53" t="n">
        <x:v>0</x:v>
      </x:c>
    </x:row>
    <x:row r="54">
      <x:c r="A54" t="inlineStr">
        <x:is>
          <x:t xml:space="preserve">P10053</x:t>
        </x:is>
      </x:c>
      <x:c r="B54" t="inlineStr">
        <x:is>
          <x:t xml:space="preserve">SKU-0GNZS43C</x:t>
        </x:is>
      </x:c>
      <x:c r="C54" t="inlineStr">
        <x:is>
          <x:t xml:space="preserve">USD passt nicht zu EUR-Kurs</x:t>
        </x:is>
      </x:c>
      <x:c r="D54" t="n">
        <x:v>1</x:v>
      </x:c>
    </x:row>
    <x:row r="55">
      <x:c r="A55" t="inlineStr">
        <x:is>
          <x:t xml:space="preserve">P10054</x:t>
        </x:is>
      </x:c>
      <x:c r="B55" t="inlineStr">
        <x:is>
          <x:t xml:space="preserve">SKU-37D4IVSO</x:t>
        </x:is>
      </x:c>
      <x:c r="C55" t="inlineStr">
        <x:is>
          <x:t xml:space="preserve">Inkonsistenz: MHD bei Non-Food; Unplausibel: Länge_cm</x:t>
        </x:is>
      </x:c>
      <x:c r="D55" t="n">
        <x:v>2</x:v>
      </x:c>
    </x:row>
    <x:row r="56">
      <x:c r="A56" t="inlineStr">
        <x:is>
          <x:t xml:space="preserve">P10055</x:t>
        </x:is>
      </x:c>
      <x:c r="B56" t="inlineStr">
        <x:is>
          <x:t xml:space="preserve">SKU-37D4IVSO</x:t>
        </x:is>
      </x:c>
      <x:c r="C56" t="inlineStr">
        <x:is>
          <x:t xml:space="preserve">SKU-Duplikat; Energieklasse bei unpassender Kategorie</x:t>
        </x:is>
      </x:c>
      <x:c r="D56" t="n">
        <x:v>2</x:v>
      </x:c>
    </x:row>
    <x:row r="57">
      <x:c r="A57" t="inlineStr">
        <x:is>
          <x:t xml:space="preserve">P10056</x:t>
        </x:is>
      </x:c>
      <x:c r="B57" t="inlineStr">
        <x:is>
          <x:t xml:space="preserve">SKU-SLQC3C54</x:t>
        </x:is>
      </x:c>
      <x:c r="C57" t="inlineStr">
        <x:is>
          <x:t xml:space="preserve">Energieklasse bei unpassender Kategorie</x:t>
        </x:is>
      </x:c>
      <x:c r="D57" t="n">
        <x:v>1</x:v>
      </x:c>
    </x:row>
    <x:row r="58">
      <x:c r="A58" t="inlineStr">
        <x:is>
          <x:t xml:space="preserve">P10057</x:t>
        </x:is>
      </x:c>
      <x:c r="B58" t="inlineStr">
        <x:is>
          <x:t xml:space="preserve">SKU-GIPPSFNK</x:t>
        </x:is>
      </x:c>
      <x:c r="C58" t="inlineStr">
        <x:is>
          <x:t xml:space="preserve">Fehlt: Produktname; Energieklasse bei unpassender Kategorie</x:t>
        </x:is>
      </x:c>
      <x:c r="D58" t="n">
        <x:v>2</x:v>
      </x:c>
    </x:row>
    <x:row r="59">
      <x:c r="A59" t="inlineStr">
        <x:is>
          <x:t xml:space="preserve">P10058</x:t>
        </x:is>
      </x:c>
      <x:c r="B59" t="inlineStr">
        <x:is>
          <x:t xml:space="preserve">SKU-CX7LXXEZ</x:t>
        </x:is>
      </x:c>
      <x:c r="C59" t="inlineStr">
        <x:is>
          <x:t xml:space="preserve">USD passt nicht zu EUR-Kurs</x:t>
        </x:is>
      </x:c>
      <x:c r="D59" t="n">
        <x:v>1</x:v>
      </x:c>
    </x:row>
    <x:row r="60">
      <x:c r="A60" t="inlineStr">
        <x:is>
          <x:t xml:space="preserve">P10059</x:t>
        </x:is>
      </x:c>
      <x:c r="B60" t="inlineStr">
        <x:is>
          <x:t xml:space="preserve">SKU-9FK2ST0S</x:t>
        </x:is>
      </x:c>
      <x:c r="C60" t="inlineStr">
        <x:is>
          <x:t xml:space="preserve">Energieklasse bei unpassender Kategorie; Inkonsistenz: MHD bei Non-Food</x:t>
        </x:is>
      </x:c>
      <x:c r="D60" t="n">
        <x:v>2</x:v>
      </x:c>
    </x:row>
    <x:row r="61">
      <x:c r="A61" t="inlineStr">
        <x:is>
          <x:t xml:space="preserve">P10060</x:t>
        </x:is>
      </x:c>
      <x:c r="B61" t="inlineStr">
        <x:is>
          <x:t xml:space="preserve">SKU-0QTL3Q4N</x:t>
        </x:is>
      </x:c>
      <x:c r="C61" t="inlineStr">
        <x:is>
          <x:t xml:space="preserve">Unplausibel: Höhe_cm</x:t>
        </x:is>
      </x:c>
      <x:c r="D61" t="n">
        <x:v>1</x:v>
      </x:c>
    </x:row>
    <x:row r="62">
      <x:c r="A62" t="inlineStr">
        <x:is>
          <x:t xml:space="preserve">P10061</x:t>
        </x:is>
      </x:c>
      <x:c r="B62" t="inlineStr">
        <x:is>
          <x:t xml:space="preserve">SKU-4K1J6FP8</x:t>
        </x:is>
      </x:c>
      <x:c r="C62" t="inlineStr">
        <x:is>
          <x:t xml:space="preserve">Unplausibel: Höhe_cm; Rechtschreibung/Grammatik</x:t>
        </x:is>
      </x:c>
      <x:c r="D62" t="n">
        <x:v>2</x:v>
      </x:c>
    </x:row>
    <x:row r="63">
      <x:c r="A63" t="inlineStr">
        <x:is>
          <x:t xml:space="preserve">P10062</x:t>
        </x:is>
      </x:c>
      <x:c r="B63" t="inlineStr">
        <x:is>
          <x:t xml:space="preserve">SKU-EK3ZEZQA</x:t>
        </x:is>
      </x:c>
      <x:c r="C63" t="inlineStr">
        <x:is>
          <x:t xml:space="preserve"/>
        </x:is>
      </x:c>
      <x:c r="D63" t="n">
        <x:v>0</x:v>
      </x:c>
    </x:row>
    <x:row r="64">
      <x:c r="A64" t="inlineStr">
        <x:is>
          <x:t xml:space="preserve">P10063</x:t>
        </x:is>
      </x:c>
      <x:c r="B64" t="inlineStr">
        <x:is>
          <x:t xml:space="preserve">SKU-WC4RTWUZ</x:t>
        </x:is>
      </x:c>
      <x:c r="C64" t="inlineStr">
        <x:is>
          <x:t xml:space="preserve">Energieklasse bei unpassender Kategorie</x:t>
        </x:is>
      </x:c>
      <x:c r="D64" t="n">
        <x:v>1</x:v>
      </x:c>
    </x:row>
    <x:row r="65">
      <x:c r="A65" t="inlineStr">
        <x:is>
          <x:t xml:space="preserve">P10064</x:t>
        </x:is>
      </x:c>
      <x:c r="B65" t="inlineStr">
        <x:is>
          <x:t xml:space="preserve">SKU-WC4RTWUZ</x:t>
        </x:is>
      </x:c>
      <x:c r="C65" t="inlineStr">
        <x:is>
          <x:t xml:space="preserve">SKU-Duplikat</x:t>
        </x:is>
      </x:c>
      <x:c r="D65" t="n">
        <x:v>1</x:v>
      </x:c>
    </x:row>
    <x:row r="66">
      <x:c r="A66" t="inlineStr">
        <x:is>
          <x:t xml:space="preserve">P10065</x:t>
        </x:is>
      </x:c>
      <x:c r="B66" t="inlineStr">
        <x:is>
          <x:t xml:space="preserve">SKU-WC4RTWUZ</x:t>
        </x:is>
      </x:c>
      <x:c r="C66" t="inlineStr">
        <x:is>
          <x:t xml:space="preserve">SKU-Duplikat</x:t>
        </x:is>
      </x:c>
      <x:c r="D66" t="n">
        <x:v>1</x:v>
      </x:c>
    </x:row>
    <x:row r="67">
      <x:c r="A67" t="inlineStr">
        <x:is>
          <x:t xml:space="preserve">P10066</x:t>
        </x:is>
      </x:c>
      <x:c r="B67" t="inlineStr">
        <x:is>
          <x:t xml:space="preserve">SKU-7S20CV3T</x:t>
        </x:is>
      </x:c>
      <x:c r="C67" t="inlineStr">
        <x:is>
          <x:t xml:space="preserve"/>
        </x:is>
      </x:c>
      <x:c r="D67" t="n">
        <x:v>0</x:v>
      </x:c>
    </x:row>
    <x:row r="68">
      <x:c r="A68" t="inlineStr">
        <x:is>
          <x:t xml:space="preserve">P10067</x:t>
        </x:is>
      </x:c>
      <x:c r="B68" t="inlineStr">
        <x:is>
          <x:t xml:space="preserve">SKU-9J98CWN2</x:t>
        </x:is>
      </x:c>
      <x:c r="C68" t="inlineStr">
        <x:is>
          <x:t xml:space="preserve">Inkonsistenz: MHD bei Non-Food; Energieklasse bei unpassender Kategorie; USD passt nicht zu EUR-Kurs</x:t>
        </x:is>
      </x:c>
      <x:c r="D68" t="n">
        <x:v>3</x:v>
      </x:c>
    </x:row>
    <x:row r="69">
      <x:c r="A69" t="inlineStr">
        <x:is>
          <x:t xml:space="preserve">P10068</x:t>
        </x:is>
      </x:c>
      <x:c r="B69" t="inlineStr">
        <x:is>
          <x:t xml:space="preserve">SKU-OXIE0RNU</x:t>
        </x:is>
      </x:c>
      <x:c r="C69" t="inlineStr">
        <x:is>
          <x:t xml:space="preserve">Fehlt: Kategorie_1; USD passt nicht zu EUR-Kurs</x:t>
        </x:is>
      </x:c>
      <x:c r="D69" t="n">
        <x:v>2</x:v>
      </x:c>
    </x:row>
    <x:row r="70">
      <x:c r="A70" t="inlineStr">
        <x:is>
          <x:t xml:space="preserve">P10069</x:t>
        </x:is>
      </x:c>
      <x:c r="B70" t="inlineStr">
        <x:is>
          <x:t xml:space="preserve">SKU-YZTKKFZZ</x:t>
        </x:is>
      </x:c>
      <x:c r="C70" t="inlineStr">
        <x:is>
          <x:t xml:space="preserve">Energieklasse bei unpassender Kategorie; Inkonsistenz: MHD bei Non-Food</x:t>
        </x:is>
      </x:c>
      <x:c r="D70" t="n">
        <x:v>2</x:v>
      </x:c>
    </x:row>
    <x:row r="71">
      <x:c r="A71" t="inlineStr">
        <x:is>
          <x:t xml:space="preserve">P10070</x:t>
        </x:is>
      </x:c>
      <x:c r="B71" t="inlineStr">
        <x:is>
          <x:t xml:space="preserve">SKU-COZROOUE</x:t>
        </x:is>
      </x:c>
      <x:c r="C71" t="inlineStr">
        <x:is>
          <x:t xml:space="preserve">USD passt nicht zu EUR-Kurs</x:t>
        </x:is>
      </x:c>
      <x:c r="D71" t="n">
        <x:v>1</x:v>
      </x:c>
    </x:row>
    <x:row r="72">
      <x:c r="A72" t="inlineStr">
        <x:is>
          <x:t xml:space="preserve">P10071</x:t>
        </x:is>
      </x:c>
      <x:c r="B72" t="inlineStr">
        <x:is>
          <x:t xml:space="preserve">SKU-FFLZM764</x:t>
        </x:is>
      </x:c>
      <x:c r="C72" t="inlineStr">
        <x:is>
          <x:t xml:space="preserve"/>
        </x:is>
      </x:c>
      <x:c r="D72" t="n">
        <x:v>0</x:v>
      </x:c>
    </x:row>
    <x:row r="73">
      <x:c r="A73" t="inlineStr">
        <x:is>
          <x:t xml:space="preserve">P10072</x:t>
        </x:is>
      </x:c>
      <x:c r="B73" t="inlineStr">
        <x:is>
          <x:t xml:space="preserve">SKU-M7B5C81J</x:t>
        </x:is>
      </x:c>
      <x:c r="C73" t="inlineStr">
        <x:is>
          <x:t xml:space="preserve">USD passt nicht zu EUR-Kurs; Energieklasse bei unpassender Kategorie</x:t>
        </x:is>
      </x:c>
      <x:c r="D73" t="n">
        <x:v>2</x:v>
      </x:c>
    </x:row>
    <x:row r="74">
      <x:c r="A74" t="inlineStr">
        <x:is>
          <x:t xml:space="preserve">P10073</x:t>
        </x:is>
      </x:c>
      <x:c r="B74" t="inlineStr">
        <x:is>
          <x:t xml:space="preserve">SKU-OQMF5L9M</x:t>
        </x:is>
      </x:c>
      <x:c r="C74" t="inlineStr">
        <x:is>
          <x:t xml:space="preserve"/>
        </x:is>
      </x:c>
      <x:c r="D74" t="n">
        <x:v>0</x:v>
      </x:c>
    </x:row>
    <x:row r="75">
      <x:c r="A75" t="inlineStr">
        <x:is>
          <x:t xml:space="preserve">P10074</x:t>
        </x:is>
      </x:c>
      <x:c r="B75" t="inlineStr">
        <x:is>
          <x:t xml:space="preserve">SKU-5P8637ZG</x:t>
        </x:is>
      </x:c>
      <x:c r="C75" t="inlineStr">
        <x:is>
          <x:t xml:space="preserve">Energieklasse bei unpassender Kategorie</x:t>
        </x:is>
      </x:c>
      <x:c r="D75" t="n">
        <x:v>1</x:v>
      </x:c>
    </x:row>
    <x:row r="76">
      <x:c r="A76" t="inlineStr">
        <x:is>
          <x:t xml:space="preserve">P10075</x:t>
        </x:is>
      </x:c>
      <x:c r="B76" t="inlineStr">
        <x:is>
          <x:t xml:space="preserve">SKU-V4YKADEJ</x:t>
        </x:is>
      </x:c>
      <x:c r="C76" t="inlineStr">
        <x:is>
          <x:t xml:space="preserve">Unplausibel: Höhe_cm; Rechtschreibung/Grammatik</x:t>
        </x:is>
      </x:c>
      <x:c r="D76" t="n">
        <x:v>2</x:v>
      </x:c>
    </x:row>
    <x:row r="77">
      <x:c r="A77" t="inlineStr">
        <x:is>
          <x:t xml:space="preserve">P10076</x:t>
        </x:is>
      </x:c>
      <x:c r="B77" t="inlineStr">
        <x:is>
          <x:t xml:space="preserve">SKU-EDN9UNFV</x:t>
        </x:is>
      </x:c>
      <x:c r="C77" t="inlineStr">
        <x:is>
          <x:t xml:space="preserve">Rechtschreibung/Grammatik</x:t>
        </x:is>
      </x:c>
      <x:c r="D77" t="n">
        <x:v>1</x:v>
      </x:c>
    </x:row>
    <x:row r="78">
      <x:c r="A78" t="inlineStr">
        <x:is>
          <x:t xml:space="preserve">P10077</x:t>
        </x:is>
      </x:c>
      <x:c r="B78" t="inlineStr">
        <x:is>
          <x:t xml:space="preserve">SKU-0KM3TZK3</x:t>
        </x:is>
      </x:c>
      <x:c r="C78" t="inlineStr">
        <x:is>
          <x:t xml:space="preserve">Rechtschreibung/Grammatik</x:t>
        </x:is>
      </x:c>
      <x:c r="D78" t="n">
        <x:v>1</x:v>
      </x:c>
    </x:row>
    <x:row r="79">
      <x:c r="A79" t="inlineStr">
        <x:is>
          <x:t xml:space="preserve">P10078</x:t>
        </x:is>
      </x:c>
      <x:c r="B79" t="inlineStr">
        <x:is>
          <x:t xml:space="preserve">SKU-GWW4FYB8</x:t>
        </x:is>
      </x:c>
      <x:c r="C79" t="inlineStr">
        <x:is>
          <x:t xml:space="preserve"/>
        </x:is>
      </x:c>
      <x:c r="D79" t="n">
        <x:v>0</x:v>
      </x:c>
    </x:row>
    <x:row r="80">
      <x:c r="A80" t="inlineStr">
        <x:is>
          <x:t xml:space="preserve">P10079</x:t>
        </x:is>
      </x:c>
      <x:c r="B80" t="inlineStr">
        <x:is>
          <x:t xml:space="preserve">SKU-ZSU9RN8Q</x:t>
        </x:is>
      </x:c>
      <x:c r="C80" t="inlineStr">
        <x:is>
          <x:t xml:space="preserve">Fehlt: Preis_EUR</x:t>
        </x:is>
      </x:c>
      <x:c r="D80" t="n">
        <x:v>1</x:v>
      </x:c>
    </x:row>
    <x:row r="81">
      <x:c r="A81" t="inlineStr">
        <x:is>
          <x:t xml:space="preserve">P10080</x:t>
        </x:is>
      </x:c>
      <x:c r="B81" t="inlineStr">
        <x:is>
          <x:t xml:space="preserve">SKU-ZSU9RN8Q</x:t>
        </x:is>
      </x:c>
      <x:c r="C81" t="inlineStr">
        <x:is>
          <x:t xml:space="preserve">SKU-Duplikat; Inkonsistenz: MHD bei Non-Food</x:t>
        </x:is>
      </x:c>
      <x:c r="D81" t="n">
        <x:v>2</x:v>
      </x:c>
    </x:row>
    <x:row r="82">
      <x:c r="A82" t="inlineStr">
        <x:is>
          <x:t xml:space="preserve">P10081</x:t>
        </x:is>
      </x:c>
      <x:c r="B82" t="inlineStr">
        <x:is>
          <x:t xml:space="preserve">SKU-ZEWVIYTW</x:t>
        </x:is>
      </x:c>
      <x:c r="C82" t="inlineStr">
        <x:is>
          <x:t xml:space="preserve"/>
        </x:is>
      </x:c>
      <x:c r="D82" t="n">
        <x:v>0</x:v>
      </x:c>
    </x:row>
    <x:row r="83">
      <x:c r="A83" t="inlineStr">
        <x:is>
          <x:t xml:space="preserve">P10082</x:t>
        </x:is>
      </x:c>
      <x:c r="B83" t="inlineStr">
        <x:is>
          <x:t xml:space="preserve">SKU-RH8LX6DU</x:t>
        </x:is>
      </x:c>
      <x:c r="C83" t="inlineStr">
        <x:is>
          <x:t xml:space="preserve">Inkonsistenz: MHD bei Non-Food; USD passt nicht zu EUR-Kurs</x:t>
        </x:is>
      </x:c>
      <x:c r="D83" t="n">
        <x:v>2</x:v>
      </x:c>
    </x:row>
    <x:row r="84">
      <x:c r="A84" t="inlineStr">
        <x:is>
          <x:t xml:space="preserve">P10083</x:t>
        </x:is>
      </x:c>
      <x:c r="B84" t="inlineStr">
        <x:is>
          <x:t xml:space="preserve">SKU-6ESJ3L0X</x:t>
        </x:is>
      </x:c>
      <x:c r="C84" t="inlineStr">
        <x:is>
          <x:t xml:space="preserve"/>
        </x:is>
      </x:c>
      <x:c r="D84" t="n">
        <x:v>0</x:v>
      </x:c>
    </x:row>
    <x:row r="85">
      <x:c r="A85" t="inlineStr">
        <x:is>
          <x:t xml:space="preserve">P10084</x:t>
        </x:is>
      </x:c>
      <x:c r="B85" t="inlineStr">
        <x:is>
          <x:t xml:space="preserve">SKU-R7ANQJLU</x:t>
        </x:is>
      </x:c>
      <x:c r="C85" t="inlineStr">
        <x:is>
          <x:t xml:space="preserve">Unplausibel: Preis_EUR</x:t>
        </x:is>
      </x:c>
      <x:c r="D85" t="n">
        <x:v>1</x:v>
      </x:c>
    </x:row>
    <x:row r="86">
      <x:c r="A86" t="inlineStr">
        <x:is>
          <x:t xml:space="preserve">P10085</x:t>
        </x:is>
      </x:c>
      <x:c r="B86" t="inlineStr">
        <x:is>
          <x:t xml:space="preserve">SKU-Q9NZ6123</x:t>
        </x:is>
      </x:c>
      <x:c r="C86" t="inlineStr">
        <x:is>
          <x:t xml:space="preserve">Fenster_zu_öffnen &gt; Fenster_gesamt</x:t>
        </x:is>
      </x:c>
      <x:c r="D86" t="n">
        <x:v>1</x:v>
      </x:c>
    </x:row>
    <x:row r="87">
      <x:c r="A87" t="inlineStr">
        <x:is>
          <x:t xml:space="preserve">P10086</x:t>
        </x:is>
      </x:c>
      <x:c r="B87" t="inlineStr">
        <x:is>
          <x:t xml:space="preserve">SKU-4PYZR6QC</x:t>
        </x:is>
      </x:c>
      <x:c r="C87" t="inlineStr">
        <x:is>
          <x:t xml:space="preserve">USD passt nicht zu EUR-Kurs</x:t>
        </x:is>
      </x:c>
      <x:c r="D87" t="n">
        <x:v>1</x:v>
      </x:c>
    </x:row>
    <x:row r="88">
      <x:c r="A88" t="inlineStr">
        <x:is>
          <x:t xml:space="preserve">P10087</x:t>
        </x:is>
      </x:c>
      <x:c r="B88" t="inlineStr">
        <x:is>
          <x:t xml:space="preserve">SKU-97C7BO11</x:t>
        </x:is>
      </x:c>
      <x:c r="C88" t="inlineStr">
        <x:is>
          <x:t xml:space="preserve">USD passt nicht zu EUR-Kurs</x:t>
        </x:is>
      </x:c>
      <x:c r="D88" t="n">
        <x:v>1</x:v>
      </x:c>
    </x:row>
    <x:row r="89">
      <x:c r="A89" t="inlineStr">
        <x:is>
          <x:t xml:space="preserve">P10088</x:t>
        </x:is>
      </x:c>
      <x:c r="B89" t="inlineStr">
        <x:is>
          <x:t xml:space="preserve">SKU-AAKYTT3I</x:t>
        </x:is>
      </x:c>
      <x:c r="C89" t="inlineStr">
        <x:is>
          <x:t xml:space="preserve"/>
        </x:is>
      </x:c>
      <x:c r="D89" t="n">
        <x:v>0</x:v>
      </x:c>
    </x:row>
    <x:row r="90">
      <x:c r="A90" t="inlineStr">
        <x:is>
          <x:t xml:space="preserve">P10089</x:t>
        </x:is>
      </x:c>
      <x:c r="B90" t="inlineStr">
        <x:is>
          <x:t xml:space="preserve">SKU-B0OIH5CS</x:t>
        </x:is>
      </x:c>
      <x:c r="C90" t="inlineStr">
        <x:is>
          <x:t xml:space="preserve"/>
        </x:is>
      </x:c>
      <x:c r="D90" t="n">
        <x:v>0</x:v>
      </x:c>
    </x:row>
    <x:row r="91">
      <x:c r="A91" t="inlineStr">
        <x:is>
          <x:t xml:space="preserve">P10090</x:t>
        </x:is>
      </x:c>
      <x:c r="B91" t="inlineStr">
        <x:is>
          <x:t xml:space="preserve">SKU-856WPR97</x:t>
        </x:is>
      </x:c>
      <x:c r="C91" t="inlineStr">
        <x:is>
          <x:t xml:space="preserve">Unplausibel: Höhe_cm; Fehlt: Kategorie_1</x:t>
        </x:is>
      </x:c>
      <x:c r="D91" t="n">
        <x:v>2</x:v>
      </x:c>
    </x:row>
    <x:row r="92">
      <x:c r="A92" t="inlineStr">
        <x:is>
          <x:t xml:space="preserve">P10091</x:t>
        </x:is>
      </x:c>
      <x:c r="B92" t="inlineStr">
        <x:is>
          <x:t xml:space="preserve">SKU-OOTNJLCQ</x:t>
        </x:is>
      </x:c>
      <x:c r="C92" t="inlineStr">
        <x:is>
          <x:t xml:space="preserve"/>
        </x:is>
      </x:c>
      <x:c r="D92" t="n">
        <x:v>0</x:v>
      </x:c>
    </x:row>
    <x:row r="93">
      <x:c r="A93" t="inlineStr">
        <x:is>
          <x:t xml:space="preserve">P10092</x:t>
        </x:is>
      </x:c>
      <x:c r="B93" t="inlineStr">
        <x:is>
          <x:t xml:space="preserve">SKU-6K6HG001</x:t>
        </x:is>
      </x:c>
      <x:c r="C93" t="inlineStr">
        <x:is>
          <x:t xml:space="preserve">Fehlt: Kategorie_1</x:t>
        </x:is>
      </x:c>
      <x:c r="D93" t="n">
        <x:v>1</x:v>
      </x:c>
    </x:row>
    <x:row r="94">
      <x:c r="A94" t="inlineStr">
        <x:is>
          <x:t xml:space="preserve">P10093</x:t>
        </x:is>
      </x:c>
      <x:c r="B94" t="inlineStr">
        <x:is>
          <x:t xml:space="preserve">SKU-D9Q46NOU</x:t>
        </x:is>
      </x:c>
      <x:c r="C94" t="inlineStr">
        <x:is>
          <x:t xml:space="preserve">Rechtschreibung/Grammatik; Unplausibel: Lagerbestand</x:t>
        </x:is>
      </x:c>
      <x:c r="D94" t="n">
        <x:v>2</x:v>
      </x:c>
    </x:row>
    <x:row r="95">
      <x:c r="A95" t="inlineStr">
        <x:is>
          <x:t xml:space="preserve">P10094</x:t>
        </x:is>
      </x:c>
      <x:c r="B95" t="inlineStr">
        <x:is>
          <x:t xml:space="preserve">SKU-1R00Q0MF</x:t>
        </x:is>
      </x:c>
      <x:c r="C95" t="inlineStr">
        <x:is>
          <x:t xml:space="preserve"/>
        </x:is>
      </x:c>
      <x:c r="D95" t="n">
        <x:v>0</x:v>
      </x:c>
    </x:row>
    <x:row r="96">
      <x:c r="A96" t="inlineStr">
        <x:is>
          <x:t xml:space="preserve">P10095</x:t>
        </x:is>
      </x:c>
      <x:c r="B96" t="inlineStr">
        <x:is>
          <x:t xml:space="preserve">SKU-ZASNWYWR</x:t>
        </x:is>
      </x:c>
      <x:c r="C96" t="inlineStr">
        <x:is>
          <x:t xml:space="preserve"/>
        </x:is>
      </x:c>
      <x:c r="D96" t="n">
        <x:v>0</x:v>
      </x:c>
    </x:row>
    <x:row r="97">
      <x:c r="A97" t="inlineStr">
        <x:is>
          <x:t xml:space="preserve">P10096</x:t>
        </x:is>
      </x:c>
      <x:c r="B97" t="inlineStr">
        <x:is>
          <x:t xml:space="preserve">SKU-DDFGS3JO</x:t>
        </x:is>
      </x:c>
      <x:c r="C97" t="inlineStr">
        <x:is>
          <x:t xml:space="preserve">USD passt nicht zu EUR-Kurs; Energieklasse bei unpassender Kategorie; Inkonsistenz: Garantie untypisch für Verbrauchsgut</x:t>
        </x:is>
      </x:c>
      <x:c r="D97" t="n">
        <x:v>3</x:v>
      </x:c>
    </x:row>
    <x:row r="98">
      <x:c r="A98" t="inlineStr">
        <x:is>
          <x:t xml:space="preserve">P10097</x:t>
        </x:is>
      </x:c>
      <x:c r="B98" t="inlineStr">
        <x:is>
          <x:t xml:space="preserve">SKU-P2U4DTBH</x:t>
        </x:is>
      </x:c>
      <x:c r="C98" t="inlineStr">
        <x:is>
          <x:t xml:space="preserve">Rechtschreibung/Grammatik</x:t>
        </x:is>
      </x:c>
      <x:c r="D98" t="n">
        <x:v>1</x:v>
      </x:c>
    </x:row>
    <x:row r="99">
      <x:c r="A99" t="inlineStr">
        <x:is>
          <x:t xml:space="preserve">P10098</x:t>
        </x:is>
      </x:c>
      <x:c r="B99" t="inlineStr">
        <x:is>
          <x:t xml:space="preserve">SKU-FI4O6L1F</x:t>
        </x:is>
      </x:c>
      <x:c r="C99" t="inlineStr">
        <x:is>
          <x:t xml:space="preserve">Unplausibel: Gewicht_kg</x:t>
        </x:is>
      </x:c>
      <x:c r="D99" t="n">
        <x:v>1</x:v>
      </x:c>
    </x:row>
    <x:row r="100">
      <x:c r="A100" t="inlineStr">
        <x:is>
          <x:t xml:space="preserve">P10099</x:t>
        </x:is>
      </x:c>
      <x:c r="B100" t="inlineStr">
        <x:is>
          <x:t xml:space="preserve">SKU-NGVN1KIC</x:t>
        </x:is>
      </x:c>
      <x:c r="C100" t="inlineStr">
        <x:is>
          <x:t xml:space="preserve"/>
        </x:is>
      </x:c>
      <x:c r="D100" t="n">
        <x:v>0</x:v>
      </x:c>
    </x:row>
    <x:row r="101">
      <x:c r="A101" t="inlineStr">
        <x:is>
          <x:t xml:space="preserve">P10100</x:t>
        </x:is>
      </x:c>
      <x:c r="B101" t="inlineStr">
        <x:is>
          <x:t xml:space="preserve">SKU-GQTOAMDV</x:t>
        </x:is>
      </x:c>
      <x:c r="C101" t="inlineStr">
        <x:is>
          <x:t xml:space="preserve">Rechtschreibung/Grammatik; Unplausibel: Höhe_cm</x:t>
        </x:is>
      </x:c>
      <x:c r="D101" t="n">
        <x:v>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customWidth="1"/>
    <x:col min="2" max="2" width="110" customWidth="1"/>
  </x:cols>
  <x:sheetData>
    <x:row r="1">
      <x:c r="A1" s="7" t="inlineStr">
        <x:is>
          <x:t xml:space="preserve">Zweck</x:t>
        </x:is>
      </x:c>
      <x:c r="B1" t="inlineStr">
        <x:is>
          <x:t xml:space="preserve">Testdaten für Produktdatenprüfung (Probearbeitstag). Enthält bewusst eingebaute Fehler (Rechtschreibung, Inkonsistenzen, Unplausibilitäten, Währungsabweichungen, fehlende Felder, Duplikate).</x:t>
        </x:is>
      </x:c>
    </x:row>
    <x:row r="2">
      <x:c r="A2" s="7" t="inlineStr">
        <x:is>
          <x:t xml:space="preserve">Hinweis</x:t>
        </x:is>
      </x:c>
      <x:c r="B2" t="inlineStr">
        <x:is>
          <x:t xml:space="preserve">Füttere für LLM-Analyse nur das Sheet 'Products'. 'GroundTruth' dient zur späteren Auswertung/Validierung.</x:t>
        </x:is>
      </x:c>
    </x:row>
    <x:row r="3">
      <x:c r="A3" s="7" t="inlineStr">
        <x:is>
          <x:t xml:space="preserve">Formelspalten</x:t>
        </x:is>
      </x:c>
      <x:c r="B3" t="inlineStr">
        <x:is>
          <x:t xml:space="preserve">Preis_USD_soll &amp; USD_Abweichung_% (aus EUR_USD_Kurs_Referenz) + Fenster_Check.</x:t>
        </x:is>
      </x:c>
    </x:row>
  </x:sheetData>
  <x:pageMargins left="0.7" right="0.7" top="0.75" bottom="0.75" header="0.3" footer="0.3"/>
</x:worksheet>
</file>